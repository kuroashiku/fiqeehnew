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user\Dropbox\Template Dokumen\Tools Pengawasan PDP\Tools PDP FIX untuk PSE\V5.0 Feb 2023 - Update UU PDP\"/>
    </mc:Choice>
  </mc:AlternateContent>
  <xr:revisionPtr revIDLastSave="0" documentId="13_ncr:1_{01849CC7-E9CB-42F3-AB9F-B188C3F5ACC1}" xr6:coauthVersionLast="47" xr6:coauthVersionMax="47" xr10:uidLastSave="{00000000-0000-0000-0000-000000000000}"/>
  <bookViews>
    <workbookView xWindow="-110" yWindow="-110" windowWidth="19420" windowHeight="10420" tabRatio="586" xr2:uid="{4AFD72DB-6F68-4251-993B-F57174459B40}"/>
  </bookViews>
  <sheets>
    <sheet name="Data PSE" sheetId="5" r:id="rId1"/>
    <sheet name="Asesmen" sheetId="1" state="veryHidden" r:id="rId2"/>
    <sheet name="HIDE-Nilai" sheetId="10" state="veryHidden" r:id="rId3"/>
    <sheet name="Hasil" sheetId="11" state="veryHidden" r:id="rId4"/>
  </sheets>
  <definedNames>
    <definedName name="Jawaban">Asesmen!#REF!</definedName>
    <definedName name="_xlnm.Print_Area" localSheetId="1">Asesmen!$B$2:$L$53</definedName>
    <definedName name="_xlnm.Print_Area" localSheetId="0">'Data PSE'!$B$2:$G$37</definedName>
    <definedName name="_xlnm.Print_Area" localSheetId="3">Hasil!$B$2:$H$56</definedName>
    <definedName name="_xlnm.Print_Titles" localSheetId="1">Asesmen!$2:$5</definedName>
    <definedName name="_xlnm.Print_Titles" localSheetId="3">Hasil!$2:$6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4" i="1" l="1"/>
  <c r="I44" i="1"/>
  <c r="F31" i="5"/>
  <c r="C52" i="11" l="1"/>
  <c r="D54" i="11"/>
  <c r="C54" i="11"/>
  <c r="C50" i="11"/>
  <c r="D50" i="11"/>
  <c r="C47" i="11"/>
  <c r="C42" i="11"/>
  <c r="D45" i="11"/>
  <c r="D44" i="11"/>
  <c r="C45" i="11"/>
  <c r="C44" i="11"/>
  <c r="D21" i="11"/>
  <c r="C21" i="11"/>
  <c r="D11" i="11"/>
  <c r="C11" i="11"/>
  <c r="C36" i="11" l="1"/>
  <c r="D14" i="10" l="1"/>
  <c r="H50" i="1" l="1"/>
  <c r="H41" i="1"/>
  <c r="H42" i="1"/>
  <c r="H21" i="1"/>
  <c r="H8" i="1" a="1"/>
  <c r="H8" i="1" s="1"/>
  <c r="I40" i="1" l="1"/>
  <c r="F14" i="10" s="1"/>
  <c r="H40" i="1"/>
  <c r="D33" i="11"/>
  <c r="C33" i="11"/>
  <c r="C31" i="11"/>
  <c r="D30" i="11"/>
  <c r="C30" i="11"/>
  <c r="C43" i="11" l="1"/>
  <c r="F42" i="11"/>
  <c r="E14" i="10"/>
  <c r="C55" i="11"/>
  <c r="H28" i="1"/>
  <c r="H14" i="10" l="1"/>
  <c r="G42" i="11" s="1"/>
  <c r="G14" i="10"/>
  <c r="D49" i="11"/>
  <c r="D55" i="11"/>
  <c r="C27" i="11"/>
  <c r="C23" i="11"/>
  <c r="C18" i="11"/>
  <c r="C14" i="11"/>
  <c r="C9" i="11"/>
  <c r="C49" i="11"/>
  <c r="H45" i="1"/>
  <c r="D15" i="10"/>
  <c r="F15" i="10"/>
  <c r="E15" i="10" l="1"/>
  <c r="G15" i="10" s="1"/>
  <c r="C48" i="11"/>
  <c r="F47" i="11"/>
  <c r="H51" i="1"/>
  <c r="G8" i="1" a="1"/>
  <c r="G8" i="1" s="1"/>
  <c r="C12" i="11"/>
  <c r="I48" i="1" l="1"/>
  <c r="H48" i="1"/>
  <c r="H15" i="10"/>
  <c r="G47" i="11" s="1"/>
  <c r="D12" i="11"/>
  <c r="D20" i="11"/>
  <c r="C32" i="11"/>
  <c r="C40" i="11"/>
  <c r="C39" i="11"/>
  <c r="C38" i="11"/>
  <c r="C34" i="11"/>
  <c r="D31" i="11"/>
  <c r="C29" i="11"/>
  <c r="D29" i="11"/>
  <c r="C25" i="11"/>
  <c r="C20" i="11"/>
  <c r="C16" i="11"/>
  <c r="Q25" i="5"/>
  <c r="L25" i="5"/>
  <c r="D16" i="11"/>
  <c r="D40" i="11" l="1"/>
  <c r="H32" i="1"/>
  <c r="H30" i="1"/>
  <c r="D39" i="11"/>
  <c r="D38" i="11"/>
  <c r="F52" i="11" l="1"/>
  <c r="C53" i="11"/>
  <c r="D34" i="11" l="1"/>
  <c r="D32" i="11"/>
  <c r="D25" i="11"/>
  <c r="D16" i="10"/>
  <c r="D12" i="10"/>
  <c r="D11" i="10"/>
  <c r="D10" i="10"/>
  <c r="D9" i="10"/>
  <c r="D8" i="10"/>
  <c r="H38" i="1"/>
  <c r="H37" i="1"/>
  <c r="H36" i="1"/>
  <c r="H46" i="1"/>
  <c r="H33" i="1"/>
  <c r="H31" i="1"/>
  <c r="H27" i="1"/>
  <c r="H24" i="1"/>
  <c r="I23" i="1" s="1"/>
  <c r="H20" i="1"/>
  <c r="H17" i="1"/>
  <c r="H7" i="1"/>
  <c r="I6" i="1" s="1"/>
  <c r="H26" i="1" l="1"/>
  <c r="H52" i="1" s="1"/>
  <c r="I19" i="1"/>
  <c r="H19" i="1"/>
  <c r="I26" i="1"/>
  <c r="I52" i="1" s="1"/>
  <c r="H16" i="1"/>
  <c r="I16" i="1"/>
  <c r="H6" i="1"/>
  <c r="H23" i="1"/>
  <c r="H35" i="1"/>
  <c r="I35" i="1"/>
  <c r="F13" i="10" s="1"/>
  <c r="F11" i="10"/>
  <c r="F12" i="10" l="1"/>
  <c r="F16" i="10"/>
  <c r="C10" i="11"/>
  <c r="F9" i="11"/>
  <c r="E13" i="10"/>
  <c r="G13" i="10" s="1"/>
  <c r="C24" i="11"/>
  <c r="F23" i="11"/>
  <c r="E11" i="10"/>
  <c r="H11" i="10" s="1"/>
  <c r="G23" i="11" s="1"/>
  <c r="C37" i="11"/>
  <c r="C19" i="11"/>
  <c r="F36" i="11"/>
  <c r="E10" i="10"/>
  <c r="E16" i="10"/>
  <c r="E12" i="10"/>
  <c r="F10" i="10"/>
  <c r="F18" i="11"/>
  <c r="F8" i="10"/>
  <c r="E8" i="10"/>
  <c r="F27" i="11" l="1"/>
  <c r="C28" i="11"/>
  <c r="G12" i="10"/>
  <c r="H16" i="10"/>
  <c r="G52" i="11" s="1"/>
  <c r="H13" i="10"/>
  <c r="G36" i="11" s="1"/>
  <c r="G11" i="10"/>
  <c r="H12" i="10"/>
  <c r="G27" i="11" s="1"/>
  <c r="G10" i="10"/>
  <c r="G16" i="10"/>
  <c r="H10" i="10"/>
  <c r="H8" i="10"/>
  <c r="G9" i="11" s="1"/>
  <c r="G8" i="10"/>
  <c r="C15" i="11"/>
  <c r="E17" i="10"/>
  <c r="E9" i="10"/>
  <c r="G18" i="11" l="1"/>
  <c r="F17" i="10"/>
  <c r="H17" i="10" s="1"/>
  <c r="F5" i="11" s="1"/>
  <c r="G5" i="11" s="1"/>
  <c r="F9" i="10"/>
  <c r="F14" i="11"/>
  <c r="G17" i="10" l="1"/>
  <c r="E5" i="11" s="1"/>
  <c r="H9" i="10"/>
  <c r="G14" i="11" s="1"/>
  <c r="G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8" authorId="0" shapeId="0" xr:uid="{49518782-F0C1-47DF-A94B-6F5048C55A84}">
      <text>
        <r>
          <rPr>
            <b/>
            <sz val="9"/>
            <color indexed="81"/>
            <rFont val="Tahoma"/>
            <family val="2"/>
          </rPr>
          <t>Berikan tanda centang</t>
        </r>
        <r>
          <rPr>
            <sz val="9"/>
            <color indexed="81"/>
            <rFont val="Tahoma"/>
            <family val="2"/>
          </rPr>
          <t xml:space="preserve"> pada jenis dasar legalitas yang Anda gunakan.
</t>
        </r>
      </text>
    </comment>
    <comment ref="G8" authorId="0" shapeId="0" xr:uid="{A37FDC42-E9C7-43C2-898D-58140E7DEB3D}">
      <text>
        <r>
          <rPr>
            <b/>
            <sz val="9"/>
            <color indexed="81"/>
            <rFont val="Tahoma"/>
            <family val="2"/>
          </rPr>
          <t xml:space="preserve">Jika checkbox tidak bisa dicentang, </t>
        </r>
        <r>
          <rPr>
            <sz val="9"/>
            <color indexed="81"/>
            <rFont val="Tahoma"/>
            <family val="2"/>
          </rPr>
          <t xml:space="preserve">Anda bisa mengetikkan "V" pada kolom jawaban sesuai dengan dasar legalitas yang </t>
        </r>
        <r>
          <rPr>
            <b/>
            <sz val="9"/>
            <color indexed="81"/>
            <rFont val="Tahoma"/>
            <family val="2"/>
          </rPr>
          <t>Anda gunakan.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<sst xmlns="http://schemas.openxmlformats.org/spreadsheetml/2006/main" count="176" uniqueCount="149">
  <si>
    <t>DATA PENYELENGGARA SISTEM ELEKTRONIK</t>
  </si>
  <si>
    <t>:</t>
  </si>
  <si>
    <t>Alamat*</t>
  </si>
  <si>
    <t>Nomor Telepon*</t>
  </si>
  <si>
    <t>Email Resmi*</t>
  </si>
  <si>
    <t>GAMBARAN UMUM SISTEM ELEKTRONIK</t>
  </si>
  <si>
    <t>Nama Sistem Elektronik*</t>
  </si>
  <si>
    <t>URL Website/Aplikasi*</t>
  </si>
  <si>
    <t>Deskripsi Singkat Model Bisnis,
Fungsi dan Proses Bisnis
Sistem Elektronik*</t>
  </si>
  <si>
    <r>
      <t xml:space="preserve">Data Pribadi yang Diproses*
</t>
    </r>
    <r>
      <rPr>
        <i/>
        <sz val="8"/>
        <color theme="1"/>
        <rFont val="Calibri"/>
        <family val="2"/>
      </rPr>
      <t>Jenis data pribadi, contoh: nama, alamat, no hp, nama ibu, dll.</t>
    </r>
  </si>
  <si>
    <t xml:space="preserve">Tujuan dan Penggunaan Data Pribadi*
</t>
  </si>
  <si>
    <r>
      <t xml:space="preserve">Keterangan Lokasi Pemrosesan Data Pribadi*
</t>
    </r>
    <r>
      <rPr>
        <i/>
        <sz val="8"/>
        <color theme="1"/>
        <rFont val="Calibri"/>
        <family val="2"/>
      </rPr>
      <t>(Perolehan dan pengumpulan; pengolahan dan penganalisisan; penyimpanan; perbaikan dan pembaruan)</t>
    </r>
  </si>
  <si>
    <t>In-House</t>
  </si>
  <si>
    <t>Third Party</t>
  </si>
  <si>
    <t>Indonesia</t>
  </si>
  <si>
    <t>Luar Negeri</t>
  </si>
  <si>
    <t>Cloud</t>
  </si>
  <si>
    <t>Jelaskan</t>
  </si>
  <si>
    <t>DATA PETUGAS PELINDUNGAN DATA PRIBADI/PENGISI FORMULIR</t>
  </si>
  <si>
    <t>Nama*</t>
  </si>
  <si>
    <t>Jabatan*</t>
  </si>
  <si>
    <t>Email/Kontak*</t>
  </si>
  <si>
    <t>*Wajib diisi</t>
  </si>
  <si>
    <t>Lihat Panduan Pengisian di sini</t>
  </si>
  <si>
    <t>ASESMEN IMPLEMENTASI PELINDUNGAN DATA PRIBADI</t>
  </si>
  <si>
    <t>No</t>
  </si>
  <si>
    <t>Poin dalam Asesmen</t>
  </si>
  <si>
    <t>Penjelasan</t>
  </si>
  <si>
    <t>Referensi</t>
  </si>
  <si>
    <t>Jawaban</t>
  </si>
  <si>
    <t>Score</t>
  </si>
  <si>
    <t>Catatan</t>
  </si>
  <si>
    <t>Saran</t>
  </si>
  <si>
    <t>Pasal 14 ayat (1) huruf a</t>
  </si>
  <si>
    <t>1.1</t>
  </si>
  <si>
    <t>Sah secara hukum meliputi:
1. identifikasi dasar hukum/legal basis yang sesuai dengan pemrosesan Data Pribadi;
2. tidak melakukan apapun yang melanggar ketentuan hukum mengenai pelindungan Data Pribadi.</t>
  </si>
  <si>
    <t>Pasal 14 ayat (1) huruf a PP 71/2019.</t>
  </si>
  <si>
    <t>2.1</t>
  </si>
  <si>
    <t>Data Pribadi dikumpulkan untuk tujuan tertentu, eksplisit dan sah, dan tidak dapat diproses lebih lanjut dengan cara yang tidak sesuai dengan tujuan tersebut</t>
  </si>
  <si>
    <t>Data yang diperoleh hanya sebatas yang diperlukan untuk mencapai tujuan pemrosesan.</t>
  </si>
  <si>
    <t>Jaminan Hak Subjek Data Pribadi</t>
  </si>
  <si>
    <t>3.1</t>
  </si>
  <si>
    <t>3.2</t>
  </si>
  <si>
    <t>Pasal 26(c) PM 20/2016</t>
  </si>
  <si>
    <t>4.1</t>
  </si>
  <si>
    <t>Upaya Pengamanan Data Pribadi</t>
  </si>
  <si>
    <t>5.1</t>
  </si>
  <si>
    <t>Anda memproses Data Pribadi secara aman melalui 'tindakan teknis dan manajemen organisasi yang sesuai'.</t>
  </si>
  <si>
    <t>5.2</t>
  </si>
  <si>
    <t>Tidak dapat score</t>
  </si>
  <si>
    <t>5.3</t>
  </si>
  <si>
    <t>5.4</t>
  </si>
  <si>
    <t>Pasal 5 ayat (1) PM 20/2016</t>
  </si>
  <si>
    <t>5.5</t>
  </si>
  <si>
    <t>Pasal 5 ayat (4) huruf a dan b PM 20/2016</t>
  </si>
  <si>
    <t>5.6</t>
  </si>
  <si>
    <t>5.7</t>
  </si>
  <si>
    <t>Pasal 28 huruf i PM 20/2016</t>
  </si>
  <si>
    <t>6.1</t>
  </si>
  <si>
    <t>Pengendali wajib melakukan pemrosesan Data Pribadi secara bertanggung jawab. Salah satu bentuk pertanggung jawaban dari pengendali dibuktikan dengan dokumentasi kegiatan pemrosesan Data Pribadi.</t>
  </si>
  <si>
    <t>Pasal 14 ayat (1) huruf d PP 71/2019</t>
  </si>
  <si>
    <t>6.2</t>
  </si>
  <si>
    <t>Pasal 14 ayat (1) huruf f PP 71/2019</t>
  </si>
  <si>
    <t>6.3</t>
  </si>
  <si>
    <t>Pengiriman dan Pengungkapan Data Pribadi</t>
  </si>
  <si>
    <t>TOTAL</t>
  </si>
  <si>
    <t>HASIL ASSESSMENT
IMPLEMENTASI PELINDUNGAN DATA PRIBADI</t>
  </si>
  <si>
    <t>NILAI</t>
  </si>
  <si>
    <t>Point dalam Assessment</t>
  </si>
  <si>
    <t>Nilai</t>
  </si>
  <si>
    <t xml:space="preserve">TOTAL     </t>
  </si>
  <si>
    <t>HASIL ASESMEN
IMPLEMENTASI PELINDUNGAN DATA PRIBADI</t>
  </si>
  <si>
    <t>Persentase Kepatuhan PDP</t>
  </si>
  <si>
    <t>.</t>
  </si>
  <si>
    <t>Hak bagi subjek Data Pribadi untuk mengoreksi Data Pribadi yang tidak akurat.</t>
  </si>
  <si>
    <t>Tanggung Jawab dan Pembuktian Pemrosesan Data Pribadi</t>
  </si>
  <si>
    <t>7.1</t>
  </si>
  <si>
    <t>Apakah pemrosesan data pribadi yang Anda lakukan telah sesuai dengan tujuan pemrosesannya?</t>
  </si>
  <si>
    <t xml:space="preserve">Dasar legalitas apa yang Anda gunakan untuk memproses data pribadi? </t>
  </si>
  <si>
    <t>Apakah pengumpulan data pribadi dilakukan secara terbatas dan spesifik?</t>
  </si>
  <si>
    <t>Apakah terdapat akses atau kesempatan bagi subjek data pribadi untuk melengkapi, memperbarui, dan/atau memperbaiki kesalahan dan/atau ketidakakuratan data pribadinya?</t>
  </si>
  <si>
    <t>Apakah Anda telah memastikan bahwa data pribadi diproses secara akurat dan lengkap?</t>
  </si>
  <si>
    <t>Apakah Anda memiliki prosedur dan mekanisme keamanan data terhadap pemrosesan data pribadi?</t>
  </si>
  <si>
    <t>Apakah Anda menggunakan jasa pihak ketiga sebagai prosesor data pribadi dalam pemrosesan data pribadi?</t>
  </si>
  <si>
    <t>Dalam hal penggunaan jasa pihak ketiga sebagai prosesor data pribadi, apakah Anda memiliki perjanjian tertulis yang berisikan ketentuan pelindungan data pribadi?</t>
  </si>
  <si>
    <t>Apakah Anda memiliki aturan internal terkait hal pemrosesan data pribadi?</t>
  </si>
  <si>
    <t>Apakah Anda melakukan sosialisasi kepada seluruh pegawai mengenai aturan internal terkait pemrosesan data pribadi?</t>
  </si>
  <si>
    <t>Apakah Anda memiliki program internal terkait peningkatan kesadaran pelindungan data pribadi, seperti pelatihan, lokakarya, atau lainnya?</t>
  </si>
  <si>
    <t>Apakah Anda memiliki pegawai/karyawan atau pihak yang ditunjuk untuk secara khusus bertanggung jawab atas hal-hal yang terkait dengan pelindungan data pribadi yang Anda kelola?</t>
  </si>
  <si>
    <t>Apakah Anda telah memberitahukan kepada subjek data pribadi mengenai aktivitas pemrosesan data pribadi yang mencakup kejelasan identitas, dasar kepentingan hukum, tujuan permintaan, rencana penggunaan, dan tanggung jawab Anda?</t>
  </si>
  <si>
    <t>Apakah Anda memiliki mekanisme pemberitahuan secara tertulis kepada subjek data pribadi jika terjadi kegagalan dalam pelindungan data pribadi?</t>
  </si>
  <si>
    <t>Apakah Anda menyediakan kanal aduan yang dapat digunakan oleh subjek data pribadi untuk melaporkan dampak terhadap kegagalan pelindungan data pribadi?</t>
  </si>
  <si>
    <t>Apakah Anda telah melakukan perekaman terhadap semua kegiatan pemrosesan dalam rangka pelindungan data pribadi?</t>
  </si>
  <si>
    <t>Apakah Anda memiliki kebijakan dan prosedur dalam hal terdapat permintaan dari aparat penegak hukum terkait data pribadi yang Anda kelola?</t>
  </si>
  <si>
    <t>8.1</t>
  </si>
  <si>
    <t>Apakah Anda memiliki mekanisme mengenai tindakan mitigasi risiko dalam hal terjadi kegagalan dalam pelindungan data pribadi?</t>
  </si>
  <si>
    <t>Data Pribadi yang disampaikan di dalam Tools ini hanya digunakan untuk keperluan pengawasan terhadap pelaksanaan pelindungan data pribadi yang dilakukan oleh Penyelenggara Sistem Elektronik sesuai dengan kewenangan yang dimiliki oleh Kementerian Komunikasi dan Informatika.</t>
  </si>
  <si>
    <t>•  Anda harus mengambil langkah untuk memastikan Data Pribadi yang Anda proses akurat, lengkap, dan mutakhir.
•  Jika Anda menemukan bahwa Data Pribadi tidak akurat, lengkap, dan mutakhir, Anda harus mengambil langkah untuk memperbaiki sesegera mungkin.
•  Saran lebih lanjut terkait poin ini dapat diakses pada file Panduan halaman 42-43 (Apakah Anda Telah Memastikan Bahwa Data Pribadi Diproses Secara Akurat dan Lengkap?).</t>
  </si>
  <si>
    <t>Anda harus memastikan bahwa Data Pribadi yang Anda proses:
1. memadai - cukup untuk memenuhi tujuan yang Anda nyatakan;
2. relevan - Anda hanya dapat mengumpulkan data yang berkaitan langsung dengan pemrosesan Anda; dan
3. terbatas pada apa yang perlu - Anda tidak mengumpulkan Data Pribadi  lebih dari yang Anda butuhkan untuk pencapaian tujuan.
Saran lebih lanjut terkait poin ini dapat diakses pada file Panduan halaman 34-35 (Apakah Pemrosesan Data Pribadi yang Anda Lakukan telah sesuai dengan Tujuan Pemrosesannya?).</t>
  </si>
  <si>
    <t>Kalo 5.3 Tidak, 5.4 tidak bisa dipilih</t>
  </si>
  <si>
    <t>Kalo 5.5 Tidak, 5.6 tidak bisa dipilih</t>
  </si>
  <si>
    <t>Jumlah Subjek Data Pribadi*</t>
  </si>
  <si>
    <t>1.2</t>
  </si>
  <si>
    <t>Pengumpulan Data Pribadi Secara Terbatas, Spesifik serta Sah Secara Hukum</t>
  </si>
  <si>
    <t>Kesesuaian Pemrosesan Data Pribadi dengan Tujuannya</t>
  </si>
  <si>
    <t>Pasal 26(d) PM 20/2016</t>
  </si>
  <si>
    <t>•  subjek Data Pribadi terbatas hanya boleh meminta Data Pribadi yang benar-benar diberikan Pemilik Data kepada Pengendali Data.
•  Data lainnya yang dihasilkan dari pemrosesan Data Pribadinya dapat diperoleh dengan persetujuan Pengendali.
Catatan:
•  Memungkinkan individu memperoleh dan menggunakan kembali Data Pribadi mereka untuk tujuan mereka sendiri di berbagai layanan.
•  Ini memungkinkan subjek Data Pribadi untuk memindahkan, menyalin, atau mentransfer Data Pribadi dengan mudah dari satu lingkungan TI ke lingkungan lain dengan cara yang aman dan terlindungi, tanpa memengaruhi kegunaannya.</t>
  </si>
  <si>
    <t>Apakah Anda menyediakan akses atau kesempatan bagi Subjek Data Pribadi untuk memperoleh salinan Data Pribadi yang pernah diserahkan?</t>
  </si>
  <si>
    <t>Keakuratan dan Kelengkapan Pemrosesan Data Pribadi</t>
  </si>
  <si>
    <t>Pemberitahuan Aktifitas Pemrosesan Data Pribadi dan Kegagalan Pelindungan Data Pribadi</t>
  </si>
  <si>
    <t>Kebijakan retensi mencantumkan jenis catatan atau informasi yang Anda pegang, untuk apa Anda menggunakannya, dan berapa lama Anda berniat menyimpannya. Kebijakan ini membantu Anda menetapkan dan mendokumentasikan periode retensi standar untuk berbagai kategori Data Pribadi.</t>
  </si>
  <si>
    <t>Apakah Anda memiliki kebijakan retensi terkait penyimpanan Data Pribadi?</t>
  </si>
  <si>
    <t>7.2</t>
  </si>
  <si>
    <t>•  Pasal 15 ayat (2) PP 71/2019
•  Pasal 18 ayat (1) PP 71/2019
•   Pasal 26(e) PM 20/2016</t>
  </si>
  <si>
    <t>•  Data Pribadi yang dihapus dapat dipulihkan atau ditampilkan kembali secara utuh, dalam hal terdapat permintaan tertulis dari subjek Data Pribadi.
•  Data Pribadi yang dimusnahkan tidak dapat dipulihkan atau ditampilkan kembali secara utuh.</t>
  </si>
  <si>
    <t>Pemusnahan dan Penghapusan Data Pribadi</t>
  </si>
  <si>
    <t>Apakah Anda menyediakan mekanisme penghapusan dan pemusnahan Data Pribadi sesuai dengan ketentuan peraturan perundang-undangan?</t>
  </si>
  <si>
    <t>9.1</t>
  </si>
  <si>
    <t>Apakah Anda melakukan Pengiriman Data Pribadi ke Luar Wilayah Indonesia?</t>
  </si>
  <si>
    <r>
      <t xml:space="preserve">Pengiriman Data Pribadi dari dalam ke luar wilayah Indonesia meliputi:
1. Pengiriman data yang semula disimpan di Indonesia ke luar negeri.
2. Data WNI disimpan secara langsung pada </t>
    </r>
    <r>
      <rPr>
        <i/>
        <sz val="12"/>
        <color theme="1"/>
        <rFont val="Calibri"/>
        <family val="2"/>
        <scheme val="minor"/>
      </rPr>
      <t>database</t>
    </r>
    <r>
      <rPr>
        <sz val="12"/>
        <color theme="1"/>
        <rFont val="Calibri"/>
        <family val="2"/>
        <scheme val="minor"/>
      </rPr>
      <t xml:space="preserve"> yang ada di luar negeri (</t>
    </r>
    <r>
      <rPr>
        <i/>
        <sz val="12"/>
        <color theme="1"/>
        <rFont val="Calibri"/>
        <family val="2"/>
        <scheme val="minor"/>
      </rPr>
      <t>direct collecting</t>
    </r>
    <r>
      <rPr>
        <sz val="12"/>
        <color theme="1"/>
        <rFont val="Calibri"/>
        <family val="2"/>
        <scheme val="minor"/>
      </rPr>
      <t>).</t>
    </r>
  </si>
  <si>
    <t>Pasal 22 PM 20/2016</t>
  </si>
  <si>
    <t>9.2</t>
  </si>
  <si>
    <t>Dalam melakukan pengiriman Data Pribadi ke luar wilayah Indonesia, apakah Anda sudah memenuhi ketentuan peraturan perundang-undangan tentang PDP?</t>
  </si>
  <si>
    <t>Kalo 1 Tidak, poin2 tidak dapa score / tidak dapat dipilih</t>
  </si>
  <si>
    <t>8.2</t>
  </si>
  <si>
    <t>9.3</t>
  </si>
  <si>
    <t>Nama Perusahaan/Organisasi*</t>
  </si>
  <si>
    <t>Nomor TDPSE</t>
  </si>
  <si>
    <t xml:space="preserve">Sektor Sistem Elektronik*
</t>
  </si>
  <si>
    <t>Pemberitahuan Aktifitas Pemrosesan Data Pribadi dan Kegagalan PDP</t>
  </si>
  <si>
    <t>• Yang dimaksud dengan "secara terbatas dan spesifik" adalah pengumpulan Data Pribadi harus terbatas sesuai dengan tujuan pemrosesannya serta tujuan pemrosesan Data Pribadi harus secara eksplisit, sah, dan telah ditentukan pada saat pengumpulan Data Pribadi.
• Anda wajib menginformasikan tujuan pemrosesan Anda sejak awal dengan jelas.
• Anda sebaiknya mencatat  tujuan Anda sebagai bagian dari kewajiban dokumentasi Anda dan menjelaskannya dalam kebijakan privasi Anda.
• Jika pada saat permintaan persetujuan pengumpulan Data Pribadi terdapat urusan atau tujuan yang lain (misalnya perjanjian kerja karyawan yang memuat aktivitas pemrosesan data pribadinya), Anda harus membedakan permintaan persetujuan Data Pribadi tersebut dan memenuhi ketentuan yang meliputi:
   1. dapat dibedakan secara jelas dengan hal lainnya;
   2. dibuat dengan format yang dapat dipahami dan mudah diakses; dan
   3. menggunakan bahasa yang sederhana dan jelas.
• Jika Anda sudah mendapatkan persetujuan Subjek data atas kegiatan pemrosesan existing, lalu Anda bermaksud memproses dengan tujuan baru yang tidak relevan dengan tujuan awal, maka Anda perlu mendapatkan persetujuan baru (fresh consent) dari Subjek data.
•  Saran lebih lanjut terkait poin ini dapat diakses pada file Panduan halaman 16-17 (Apakah Pengumpulan Data Pribadi Dilakukan Secara Terbatas dan Spesifik?).</t>
  </si>
  <si>
    <t>•  Anda harus memenuhi prinsip sah secara hukum (dikenal sebagai legal basis atau lawful basis) yang meliputi sejumlah dasar pemrosesan sebagaimana dimaksud Pasal 20 ayat (2) UU PDP.
•  Anda harus mengidentifikasi tujuan perolehan data dengan dasar pemrosesan yang sesuai dengan kegiatan pemrosesan Anda.
•  Anda harus memastikan bahwa pemrosesan yang Anda lakukan sesuai dengan peraturan perundang-undangan, khususnya UU PDP.
•   Dalam hal Anda menggunakan dasar pemrosesan 'kepentingan yang sah lainnya', Anda perlu memiliki analisis/kajian tertulis tentang alasan penggunaannya, termasuk bagaimana Anda menyeimbangkan kepentingan Anda dan hak Subjek data.
• Yang dimaksud dengan "kepentingan vital Subjek Data Pribadi" adalah terkait dengan keberlangsungan hidup dari Subjek data Pribadi misalnya ketika pemrosesan Data Pribadi diperlukan untuk tindakan perawatan medis serius.
•  Saran lebih lanjut terkait poin ini dapat diakses pada file Panduan halaman 18-32 (Legalitas Pemrosesan Data Pribadi).</t>
  </si>
  <si>
    <t>•  Anda harus memiliki mekanisme yang memungkinkan subjek Data Pribadi mengubah atau memperbarui Data Pribadinya baik secara sistem maupun permintaan lisan atau tulisan.
•  Saran lebih lanjut terkait poin ini dapat diakses pada file Panduan halaman 37-38 (Apakah Terdapat Akses atau Kesempatan Bagi Subjek Data Pribadi untuk Melengkapi, Memperbarui dan/atau Memperbaiki Kesalahan dan/atau Ketidakakuratan Data Pribadinya?).</t>
  </si>
  <si>
    <r>
      <t xml:space="preserve">•  Anda harus memiliki prosedur untuk memastikan untuk menanggapi permintaan salinan Data Pribadi dari subjek Data Pribadi
•  Anda harus memiliki mekanisme yang memungkinkan subjek Data Pribadi memiliki akses untuk mendapatkan informasi yang diinginkan terkait pemrosesan Data Pribadinya.
•  Dalam memenuhi permintaan perolehan Data Pribadi dari Subyek Data Pribadi, Anda harus memastikan informasi tersebut disampaikan dengan menggunakan metode yang aman.
•  Data Pribadi yang diperoleh oleh Subyek Data Pribadi harus dalam format terstruktur dan umum digunakan.
•  Anda harus memastikan bahwa data yang diminta adalah Data Pribadi dari </t>
    </r>
    <r>
      <rPr>
        <sz val="12"/>
        <color rgb="FFFF0000"/>
        <rFont val="Calibri"/>
        <family val="2"/>
        <scheme val="minor"/>
      </rPr>
      <t xml:space="preserve">Subyek Data Pribadi </t>
    </r>
    <r>
      <rPr>
        <sz val="12"/>
        <color theme="1"/>
        <rFont val="Calibri"/>
        <family val="2"/>
        <scheme val="minor"/>
      </rPr>
      <t>yang melakukan permintaan akses atau salinan Data Pribadi.
•  Saran lebih lanjut dapat diakses pada file Panduan halaman</t>
    </r>
    <r>
      <rPr>
        <sz val="12"/>
        <color rgb="FFFF0000"/>
        <rFont val="Calibri"/>
        <family val="2"/>
        <scheme val="minor"/>
      </rPr>
      <t xml:space="preserve"> 39-40 (Apakah Anda Menyediakan Akses atau Kesempatan bagi Subjek Data Pribadi _x000B_untuk Memperoleh Salinan Data Pribadi yang Pernah Diserahkan?).</t>
    </r>
  </si>
  <si>
    <t>•  Anda harus memiliki sistem manajemen keamanan data pada pemrosesan Data Pribadi dengan memperhatikan sifat dan risiko dari kegiatan pemrosesan Data Pribadi.
•  Anda harus mempertimbangkan hal-hal seperti analisis risiko, kebijakan organisasi, serta tindakan fisik dan teknis.
•  Anda harus mempertimbangkan persyaratan keamanan data lainnya dalam pemrosesan Data Pribadi yang berlaku baik untuk pengendali maupun prosesor.
•  Anda harus memastikan prosedur yang sesuai untuk menguji keefektifan tindakan pengamanan secara berkala, dan melakukan perbaikan atau pembaharuan (on-going update) jika diperlukan.
•  Saran lebih lanjut terkait poin ini dapat diakses pada file Panduan halaman 45-46 dan 59 (Apakah Anda Memiliki Prosedur dan Mekanisme Keamanan Data Terhadap Pemrosesan Data Pribadi?).</t>
  </si>
  <si>
    <t>•  Anda harus memastikan Anda untuk mengatasi kegagalan pelindungan Data Pribadi.
•  Anda harus memiliki langkah mitigasi, tindakan perbaikan, dan manajemen risiko untuk memastikan kegagalan pelindungan Data Pribadi tidak terjadi lagi.
•  Saran lebih lanjut terkait poin ini dapat diakses pada file Panduan halaman 48-49 dan 59 (Apakah Anda Memiliki Mekanisme Mengenai Tindakan Mitigasi Risiko dalam hal Terjadi Kegagalan dalam Pelindungan Data Pribadi?).</t>
  </si>
  <si>
    <t>•  Anda harus memastikan bahwa pihak ketiga yang membantu pemrosesan Data Pribadi memiliki langkah pengamanan pelindungan Data Pribadi yang memadai (appropriate) sebagaimana dituangkan dalam klausul hak dan kewajiban para pihak dalam perjanjian tertulis.
•  Saran lebih lanjut terkait poin ini dapat diakses pada file Panduan halaman 50-53 dan 59 (Dalam Hal Penggunaan Jasa Pihak Ketiga sebagai Prosesor Data Pribadi, Apakah Anda Memiliki Perjanjian Tertulis yang Berisikan Ketentuan Pelindungan Data Pribadi?).</t>
  </si>
  <si>
    <t>•  Anda harus memiliki kebijakan pengelolaan Data Pribadi atau aturan internal atau sejenisnya (internal-facing privacy policy) dan mengambil langkah-langkah untuk memastikan kebijakan tersebut diterapkan.
•  Apabila memungkinkan dan dibutuhkan, Anda dapat memiliki kebijakan tambahan dan memastikan bahwa kontrol diterapkan.
•  Anda harus meninjau kebijakan dan tindakan secara berkala dan jika perlu, memperbaikinya.
•  Saran lebih lanjut terkait poin ini dapat diakses pada file Panduan halaman 54-55 dan 59 (Apakah Anda Memiliki Aturan Internal Terkait Hal Pemrosesan Data Pribadi?)</t>
  </si>
  <si>
    <t>•  Anda harus memiliki program sosialisasi, termasuk pelatihan (training), terhadap aturan internal sebagai salah satu langkah awal  untuk memastikan kebijakan diketahui dan kemudian diterapkan oleh seluruh pegawai dan pihak terkait.
•  Saran lebih lanjut terkait poin ini dapat diakses pada file Panduan halaman 56 dan 59 (Apakah Anda Melakukan Sosialisasi kepada Seluruh Pegawai mengenai Aturan Internal Terkait Pemrosesan Data Pribadi?).</t>
  </si>
  <si>
    <t>•  Anda harus memiliki program internal terkait peningkatan kesadaran (awareness raising program) pelindungan Data Pribadi untuk memberikan pelindungan Data Pribadi dalam Sistem Elektronik yang Anda kelola.
•  Saran lebih lanjut terkait poin ini dapat diakses pada file Panduan halaman 57-59 (Apakah Anda Memiliki Program Internal Terkait Peningkatan Kesadaran Pelindungan Data Pribadi, Seperti Pelatihan, Lokakarya, atau Lainnya?).</t>
  </si>
  <si>
    <t>•  Sebagai pengendali data, Anda wajib melakukan perekaman terhadap seluruh kegiatan pemrosesan Data Pribadi, termasuk transfer data ke luar negeri, jadwal penghapusan data yang berlaku dari setiap kategori data, dan (sepanjang memungkinkan) deskripsi langkah teknis operasional untuk melindungi Data Pribadi.
•  Saran lebih lanjut terkait poin ini dapat diakses pada file Panduan halaman 61-62 (Apakah Anda Telah Memberitahukan kepada Subjek Data Pribadi mengenai Aktivitas Pemrosesan Data Pribadi yang Mencakup Kejelasan Identitas, Dasar Kepentingan Hukum, Tujuan Permintaan, Rencana Penggunaan, dan Tanggung Jawab Anda?).</t>
  </si>
  <si>
    <t>• Yang dimaksud dengan "kegagalan Pelindungan Data Pribadi" adalah kegagalan melindungi Data Pribadi seseorang dalam hal kerahasiaan, integritas, dan ketersediaan Data Pribadi, termasuk pelanggaran keamanan, baik yang disengaja maupun tidak disengaja, yang mengarah pada perusakan, kehilangan, perubahan, pengungkapan, atau akses yang tidak sah terhadap Data Pribadi yang dikirim, disimpan, atau diproses.
• Jika terjadi kegagalan pelindungan Data Pribadi, Anda wajib menyampaikan pemberitahuan secara tertulis paling lambat 3x24 jam kepada Subjek data Pribadi.
•  Dalam rangka melaksanakan prinsip pelindungan Data Pribadi dalam melakukan pemrosesan Data Pribadi, Anda harus menginformasikan kepada subjek Data Pribadi tentang bagaimana akan memproses Data Pribadi mereka.
•  Anda harus memastikan bahwa Anda memberi tahu individu tentang pemrosesan Anda dengan cara yang mudah diakses dan dipahami. Anda harus menggunakan bahasa yang jelas dan sederhana.
•  Saran lebih lanjut terkait poin ini dapat diakses pada file Panduan halaman 63-65 (Apakah Anda Memiliki Mekanisme Pemberitahuan secara Tertulis Kepada Subjek Data Pribadi jika Terjadi Kegagalan dalam Pelindungan Data Pribadi?).</t>
  </si>
  <si>
    <t>• Anda harus menyediakan  saluran atau kanal aduan yang dapat digunakan oleh subjek Data Pribadi untuk melaporkan dampak terhadap kegagalan pelindungan Data Pribadi.
• Saran lebih lanjut terkait poin ini dapat diakses pada file Panduan halaman 66-67 (Apakah Anda Menyediakan Kanal Aduan yang Dapat Digunakan oleh Subjek Data Pribadi untuk Melaporkan Dampak terhadap Kegagalan Pelindungan Data Pribadi?).</t>
  </si>
  <si>
    <t>•  Anda harus memiliki mekanisme untuk memastikan penghapusan dan pemusnahan Data Pribadi dari Sistem Elektronik Anda sebagaimana ketentuan Pasal 43 dan 44 UU PDP.
•  Pengendali data harus melaksanakan permintaan penghapusan ini kecuali ada suatu dasar hukum yang jelas mengapa data tersebut harus tetap disimpan contohnya demi kepentingan proses penegakan hukum. 
•  Jika permintaan penghapusan dilayangkan terkait dengan tujuan pemrosesan yang telah tercapai, maka Anda harus melakukan pemeriksaan lebih lanjut jika ada data lain yang masih Anda simpan namun tanpa ada tujuan yang relevan.
• Anda wajib memberitahukan penghapusan dan/atau pemusnahan Data Pribadi kepada Subjek Data Pribadi
•  Saran lebih lanjut dapat diakses pada file Panduan halaman 69-71 (Apakah Anda Menyediakan Mekanisme Penghapusan dan/atau Pemusnahan Data Pribadi sesuai dengan Ketentuan Peraturan Perundang-Undangan?)</t>
  </si>
  <si>
    <t>•  Anda hanya dapat menyimpan Data Pribadi sesuai kebutuhan untuk mencapai tujuan pemrosesan dan berdasarkan kewajiban terhadap peraturan perundang-undangan.
•  Anda harus memiliki kebijakan retensi yang sekurang-kurangnya memuat periode serta justifikasi berapa lama Anda menyimpan Data Pribadi. Justifikasi ini bergantung pada tujuan pemrosesan Data Pribadi.
•  Anda harus memiliki mekanisme pemusnahan dan penghapusan Data Pribadi jika telah mencapai masa retensinya dan berketerangan dimusnahkan berdasarkan jadwal retensi arsip.
•  Saran lebih lanjut dapat diakses pada file Panduan halaman 72-73 (Apakah Anda Memiliki Kebijakan Retensi terkait Penyimpanan Data Pribadi?)</t>
  </si>
  <si>
    <t>•  Sebagai pengendali data, Anda wajib melakukan perekaman terhadap seluruh kegiatan pemrosesan Data Pribadi, termasuk transfer data ke luar negeri, jadwal penghapusan data yang berlaku dari setiap kategori data, dan (sepanjang memungkinkan) deskripsi langkah teknis operasional untuk melindungi Data Pribadi.
•  Saran lebih lanjut terkait poin ini dapat diakses pada file Panduan halaman 75-78 (Apakah Anda Telah Melakukan Perekaman terhadap Semua Kegiatan Pemrosesan dalam Rangka Pelindungan Data Pribadi?).</t>
  </si>
  <si>
    <t>•  Anda dapat menunjuk ﻿Pejabat atau Petugas Yang Melaksanakan Fungsi Pelindungan Data Pribadi jika  Anda melakukan aktivitas pemrosesan Data Pribadi. Akan tetapi, penunjukan tersebut dapat menjadi kewajiban bagi Anda jika kegiatan pemrosesan Data Pribadi memenuhi ketentuan Pasal 53 UU PDP.
•  ﻿Pejabat atau Petugas yang melaksanakan fungsi Pelindungan Data Pribadi membantu Anda memantau kepatuhan internal, menginformasikan dan memberi nasihat tentang kewajiban pelindungan data Anda, memberikan saran terkait Analisis Dampak Perlindungan Data (DPIA), dan bertindak sebagai narahubung untuk subjek data dan instansi pengawas pelindungan Data Pribadi.
•  Saran lebih lanjut terkait poin ini dapat diakses pada file Panduan halaman 79-81 (Apakah Anda Memiliki Pegawai/Karyawan atau Pihak yang Ditunjuk secara Khusus Bertanggung Jawab atas Hal-hal yang Terkait dengan Pelindungan Data Pribadi yang Anda Kelola?).</t>
  </si>
  <si>
    <t>• Anda perlu memastikan bahwa tingkat pelindungan Data Pribadi di negara tujuan sudah setara dengan ketentuan UU PDP atau sudah memadai. 
• Jika Anda melakukan pengiriman Data Pribadi ke luar wilayah Indonesia berdasarkan pada persetujuan, maka Anda perlu juga memiliki kontrak dengan importir data yang memuat ketentuan pelindungan data berdasarkan UU PDP. Atas dasar itu, persetujuan saja bukan menjadi alasan utama yang bisa mengesampingkan kewajiban Anda dalam UU PDP.
• Saran lebih lanjut dapat diakses pada file Panduan halaman 83-87 (Dalam Melakukan Pengiriman Data Pribadi ke Luar Wilayah Indonesia, Apakah Anda sudah Memenuhi Ketentuan Peraturan Perundang-Undangan tentang PDP?).</t>
  </si>
  <si>
    <t>•  Anda harus memiliki kebijakan dan prosedur untuk permintaan Data Pribadi yang dilakukan oleh aparat penegak hukum.
•  Anda mempertimbangkan proporsionalitas dari tujuan dan keperluan berbagi Data Pribadi dengan aparat penegak hukum.
•  Anda hanya membagikan Data Pribadi yang relevan dan memadai dalam jumlah minimum yang diperlukan.
•  Saran lebih lanjut terkait poin ini dapat diakses pada file Panduan halaman 88-89 (Apakah Anda Memiliki Kebijakan dan Prosedur dalam hal Terdapat Permintaan dari Aparat Penegak Hukum Terkait Data Pribadi yang Anda Kelola?).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</si>
</sst>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42" x14ac:knownFonts="1">
    <font>
      <sz val="11"/>
      <color theme="1"/>
      <name val="Calibri"/>
      <family val="2"/>
      <scheme val="minor"/>
    </font>
    <font>
      <sz val="12"/>
      <color theme="1"/>
      <name val="Calibri"/>
      <family val="2"/>
      <scheme val="minor"/>
    </font>
    <font>
      <b/>
      <sz val="11"/>
      <color theme="1"/>
      <name val="Calibri"/>
      <family val="2"/>
      <scheme val="minor"/>
    </font>
    <font>
      <sz val="8"/>
      <name val="Calibri"/>
      <family val="2"/>
      <scheme val="minor"/>
    </font>
    <font>
      <sz val="12"/>
      <name val="Calibri"/>
      <family val="2"/>
    </font>
    <font>
      <b/>
      <sz val="12"/>
      <color theme="1"/>
      <name val="Calibri"/>
      <family val="2"/>
      <scheme val="minor"/>
    </font>
    <font>
      <sz val="11"/>
      <color theme="1"/>
      <name val="Calibri"/>
      <family val="2"/>
      <scheme val="minor"/>
    </font>
    <font>
      <sz val="11"/>
      <color rgb="FFFF0000"/>
      <name val="Calibri"/>
      <family val="2"/>
      <scheme val="minor"/>
    </font>
    <font>
      <sz val="12"/>
      <color rgb="FF000000"/>
      <name val="Calibri"/>
      <family val="2"/>
      <scheme val="minor"/>
    </font>
    <font>
      <sz val="12"/>
      <name val="Calibri"/>
      <family val="2"/>
      <scheme val="minor"/>
    </font>
    <font>
      <sz val="12"/>
      <color theme="1"/>
      <name val="Calibri"/>
      <family val="2"/>
    </font>
    <font>
      <sz val="11"/>
      <color theme="1"/>
      <name val="Bookman Old Style"/>
      <family val="1"/>
    </font>
    <font>
      <b/>
      <sz val="11"/>
      <color theme="1"/>
      <name val="Bookman Old Style"/>
      <family val="1"/>
    </font>
    <font>
      <b/>
      <sz val="18"/>
      <color theme="1"/>
      <name val="Calibri"/>
      <family val="2"/>
    </font>
    <font>
      <b/>
      <sz val="12"/>
      <color rgb="FF0A0101"/>
      <name val="Arial"/>
      <family val="2"/>
    </font>
    <font>
      <b/>
      <sz val="14"/>
      <color theme="1"/>
      <name val="Calibri"/>
      <family val="2"/>
      <scheme val="minor"/>
    </font>
    <font>
      <sz val="12"/>
      <color theme="0"/>
      <name val="Calibri"/>
      <family val="2"/>
      <scheme val="minor"/>
    </font>
    <font>
      <sz val="10"/>
      <color theme="1"/>
      <name val="Calibri"/>
      <family val="2"/>
      <scheme val="minor"/>
    </font>
    <font>
      <sz val="12"/>
      <color rgb="FFC00000"/>
      <name val="Calibri"/>
      <family val="2"/>
    </font>
    <font>
      <b/>
      <sz val="20"/>
      <color theme="1"/>
      <name val="Calibri"/>
      <family val="2"/>
    </font>
    <font>
      <i/>
      <sz val="8"/>
      <color theme="1"/>
      <name val="Calibri"/>
      <family val="2"/>
    </font>
    <font>
      <b/>
      <sz val="12"/>
      <color theme="0"/>
      <name val="Calibri"/>
      <family val="2"/>
      <scheme val="minor"/>
    </font>
    <font>
      <b/>
      <sz val="10"/>
      <name val="Calibri"/>
      <family val="2"/>
      <scheme val="minor"/>
    </font>
    <font>
      <b/>
      <sz val="11"/>
      <color theme="0"/>
      <name val="Calibri"/>
      <family val="2"/>
      <scheme val="minor"/>
    </font>
    <font>
      <b/>
      <sz val="12"/>
      <color theme="0"/>
      <name val="Calibri"/>
      <family val="2"/>
    </font>
    <font>
      <b/>
      <sz val="22"/>
      <color theme="1"/>
      <name val="Calibri"/>
      <family val="2"/>
    </font>
    <font>
      <b/>
      <sz val="16"/>
      <color theme="0"/>
      <name val="Calibri"/>
      <family val="2"/>
    </font>
    <font>
      <b/>
      <sz val="16"/>
      <color theme="1"/>
      <name val="Calibri"/>
      <family val="2"/>
    </font>
    <font>
      <u/>
      <sz val="11"/>
      <color theme="10"/>
      <name val="Calibri"/>
      <family val="2"/>
      <scheme val="minor"/>
    </font>
    <font>
      <b/>
      <sz val="17"/>
      <color theme="1"/>
      <name val="Calibri"/>
      <family val="2"/>
      <scheme val="minor"/>
    </font>
    <font>
      <b/>
      <sz val="17.5"/>
      <color theme="1"/>
      <name val="Calibri"/>
      <family val="2"/>
      <scheme val="minor"/>
    </font>
    <font>
      <sz val="12"/>
      <color theme="0" tint="-0.14999847407452621"/>
      <name val="Calibri"/>
      <family val="2"/>
      <scheme val="minor"/>
    </font>
    <font>
      <b/>
      <sz val="20"/>
      <color rgb="FFFF0000"/>
      <name val="Calibri"/>
      <family val="2"/>
    </font>
    <font>
      <b/>
      <sz val="20"/>
      <name val="Calibri"/>
      <family val="2"/>
    </font>
    <font>
      <sz val="8"/>
      <color rgb="FF000000"/>
      <name val="Segoe UI"/>
      <family val="2"/>
    </font>
    <font>
      <sz val="11"/>
      <name val="Calibri"/>
      <family val="2"/>
      <scheme val="minor"/>
    </font>
    <font>
      <sz val="12"/>
      <color rgb="FF000000"/>
      <name val="Calibri"/>
      <family val="2"/>
    </font>
    <font>
      <b/>
      <sz val="12"/>
      <name val="Calibri"/>
      <family val="2"/>
      <scheme val="minor"/>
    </font>
    <font>
      <sz val="9"/>
      <color indexed="81"/>
      <name val="Tahoma"/>
      <family val="2"/>
    </font>
    <font>
      <b/>
      <sz val="9"/>
      <color indexed="81"/>
      <name val="Tahoma"/>
      <family val="2"/>
    </font>
    <font>
      <sz val="12"/>
      <color rgb="FFFF0000"/>
      <name val="Calibri"/>
      <family val="2"/>
      <scheme val="minor"/>
    </font>
    <font>
      <i/>
      <sz val="12"/>
      <color theme="1"/>
      <name val="Calibri"/>
      <family val="2"/>
      <scheme val="minor"/>
    </font>
  </fonts>
  <fills count="16">
    <fill>
      <patternFill patternType="none"/>
    </fill>
    <fill>
      <patternFill patternType="gray125"/>
    </fill>
    <fill>
      <patternFill patternType="solid">
        <fgColor rgb="FFCCECFF"/>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FCFC83"/>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3D85C6"/>
        <bgColor indexed="64"/>
      </patternFill>
    </fill>
    <fill>
      <patternFill patternType="solid">
        <fgColor rgb="FFBDD7EE"/>
        <bgColor indexed="64"/>
      </patternFill>
    </fill>
    <fill>
      <patternFill patternType="solid">
        <fgColor theme="8" tint="-0.249977111117893"/>
        <bgColor indexed="64"/>
      </patternFill>
    </fill>
    <fill>
      <patternFill patternType="solid">
        <fgColor indexed="43"/>
        <bgColor indexed="64"/>
      </patternFill>
    </fill>
    <fill>
      <patternFill patternType="solid">
        <fgColor theme="0"/>
        <bgColor indexed="64"/>
      </patternFill>
    </fill>
    <fill>
      <patternFill patternType="solid">
        <fgColor rgb="FFFFFFFF"/>
        <bgColor indexed="64"/>
      </patternFill>
    </fill>
    <fill>
      <patternFill patternType="solid">
        <fgColor theme="0" tint="-0.14999847407452621"/>
        <bgColor indexed="64"/>
      </patternFill>
    </fill>
    <fill>
      <patternFill patternType="solid">
        <fgColor rgb="FFFFFF9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left>
      <right style="thin">
        <color theme="0"/>
      </right>
      <top style="thin">
        <color theme="0" tint="-0.14999847407452621"/>
      </top>
      <bottom style="thin">
        <color theme="0"/>
      </bottom>
      <diagonal/>
    </border>
    <border>
      <left style="thin">
        <color theme="0"/>
      </left>
      <right style="thin">
        <color theme="0"/>
      </right>
      <top style="thin">
        <color theme="0" tint="-0.14999847407452621"/>
      </top>
      <bottom/>
      <diagonal/>
    </border>
    <border>
      <left style="thin">
        <color theme="0"/>
      </left>
      <right style="thin">
        <color theme="0"/>
      </right>
      <top style="thin">
        <color theme="0"/>
      </top>
      <bottom style="thin">
        <color theme="0" tint="-0.14999847407452621"/>
      </bottom>
      <diagonal/>
    </border>
    <border>
      <left style="thin">
        <color theme="0"/>
      </left>
      <right style="thin">
        <color theme="0"/>
      </right>
      <top style="thin">
        <color theme="0" tint="-0.14999847407452621"/>
      </top>
      <bottom style="thin">
        <color theme="0" tint="-0.14999847407452621"/>
      </bottom>
      <diagonal/>
    </border>
    <border>
      <left style="thin">
        <color theme="0"/>
      </left>
      <right style="thin">
        <color theme="0"/>
      </right>
      <top/>
      <bottom style="thin">
        <color theme="0" tint="-0.14999847407452621"/>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theme="1"/>
      </left>
      <right/>
      <top style="thin">
        <color theme="1"/>
      </top>
      <bottom style="thin">
        <color theme="1"/>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theme="0"/>
      </left>
      <right/>
      <top style="thin">
        <color theme="0"/>
      </top>
      <bottom style="thin">
        <color theme="0" tint="-0.14999847407452621"/>
      </bottom>
      <diagonal/>
    </border>
    <border>
      <left/>
      <right style="thin">
        <color theme="0"/>
      </right>
      <top style="thin">
        <color theme="0"/>
      </top>
      <bottom style="thin">
        <color theme="0" tint="-0.14999847407452621"/>
      </bottom>
      <diagonal/>
    </border>
    <border>
      <left style="thin">
        <color theme="0"/>
      </left>
      <right/>
      <top style="thin">
        <color theme="0" tint="-0.14999847407452621"/>
      </top>
      <bottom style="thin">
        <color theme="0" tint="-0.14999847407452621"/>
      </bottom>
      <diagonal/>
    </border>
    <border>
      <left/>
      <right style="thin">
        <color theme="0"/>
      </right>
      <top style="thin">
        <color theme="0" tint="-0.14999847407452621"/>
      </top>
      <bottom style="thin">
        <color theme="0" tint="-0.14999847407452621"/>
      </bottom>
      <diagonal/>
    </border>
    <border>
      <left style="thin">
        <color theme="0"/>
      </left>
      <right/>
      <top/>
      <bottom style="thin">
        <color theme="0"/>
      </bottom>
      <diagonal/>
    </border>
    <border>
      <left/>
      <right/>
      <top style="thin">
        <color theme="0"/>
      </top>
      <bottom style="thin">
        <color theme="0"/>
      </bottom>
      <diagonal/>
    </border>
    <border>
      <left style="thin">
        <color theme="0"/>
      </left>
      <right/>
      <top/>
      <bottom style="thin">
        <color theme="0" tint="-0.14999847407452621"/>
      </bottom>
      <diagonal/>
    </border>
    <border>
      <left/>
      <right style="thin">
        <color theme="0"/>
      </right>
      <top/>
      <bottom style="thin">
        <color theme="0" tint="-0.14999847407452621"/>
      </bottom>
      <diagonal/>
    </border>
    <border>
      <left style="thin">
        <color theme="1"/>
      </left>
      <right/>
      <top/>
      <bottom style="thin">
        <color theme="1"/>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n">
        <color theme="1"/>
      </left>
      <right style="thin">
        <color theme="1"/>
      </right>
      <top style="thin">
        <color theme="1"/>
      </top>
      <bottom style="thin">
        <color indexed="64"/>
      </bottom>
      <diagonal/>
    </border>
    <border>
      <left/>
      <right/>
      <top/>
      <bottom style="thin">
        <color theme="0"/>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theme="0"/>
      </top>
      <bottom style="thin">
        <color indexed="64"/>
      </bottom>
      <diagonal/>
    </border>
    <border>
      <left/>
      <right style="thin">
        <color indexed="64"/>
      </right>
      <top style="thin">
        <color theme="0"/>
      </top>
      <bottom/>
      <diagonal/>
    </border>
    <border>
      <left style="thin">
        <color indexed="64"/>
      </left>
      <right style="thin">
        <color indexed="64"/>
      </right>
      <top style="thin">
        <color theme="0"/>
      </top>
      <bottom style="thin">
        <color theme="1"/>
      </bottom>
      <diagonal/>
    </border>
    <border>
      <left style="thin">
        <color indexed="64"/>
      </left>
      <right style="thin">
        <color indexed="64"/>
      </right>
      <top style="thin">
        <color theme="0"/>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indexed="64"/>
      </bottom>
      <diagonal/>
    </border>
    <border>
      <left style="thin">
        <color theme="1"/>
      </left>
      <right style="thin">
        <color theme="0"/>
      </right>
      <top/>
      <bottom style="thin">
        <color theme="1"/>
      </bottom>
      <diagonal/>
    </border>
    <border>
      <left/>
      <right style="thin">
        <color indexed="64"/>
      </right>
      <top style="thin">
        <color indexed="64"/>
      </top>
      <bottom style="thin">
        <color theme="1"/>
      </bottom>
      <diagonal/>
    </border>
    <border>
      <left/>
      <right/>
      <top style="thin">
        <color theme="0"/>
      </top>
      <bottom/>
      <diagonal/>
    </border>
  </borders>
  <cellStyleXfs count="4">
    <xf numFmtId="0" fontId="0" fillId="0" borderId="0"/>
    <xf numFmtId="164" fontId="6" fillId="0" borderId="0" applyFont="0" applyFill="0" applyBorder="0" applyAlignment="0" applyProtection="0"/>
    <xf numFmtId="9" fontId="6" fillId="0" borderId="0" applyFont="0" applyFill="0" applyBorder="0" applyAlignment="0" applyProtection="0"/>
    <xf numFmtId="0" fontId="28" fillId="0" borderId="0" applyNumberFormat="0" applyFill="0" applyBorder="0" applyAlignment="0" applyProtection="0"/>
  </cellStyleXfs>
  <cellXfs count="241">
    <xf numFmtId="0" fontId="0" fillId="0" borderId="0" xfId="0"/>
    <xf numFmtId="0" fontId="11" fillId="2" borderId="0" xfId="0" applyFont="1" applyFill="1" applyAlignment="1">
      <alignment horizontal="justify" vertical="center"/>
    </xf>
    <xf numFmtId="0" fontId="11" fillId="2" borderId="0" xfId="1" applyNumberFormat="1" applyFont="1" applyFill="1" applyAlignment="1">
      <alignment horizontal="justify" vertical="center"/>
    </xf>
    <xf numFmtId="0" fontId="11" fillId="4" borderId="0" xfId="0" applyFont="1" applyFill="1" applyAlignment="1">
      <alignment horizontal="justify" vertical="center"/>
    </xf>
    <xf numFmtId="0" fontId="11" fillId="0" borderId="0" xfId="0" applyFont="1" applyAlignment="1">
      <alignment horizontal="justify" vertical="center"/>
    </xf>
    <xf numFmtId="0" fontId="11" fillId="0" borderId="0" xfId="1" applyNumberFormat="1" applyFont="1" applyAlignment="1">
      <alignment horizontal="justify" vertical="center"/>
    </xf>
    <xf numFmtId="0" fontId="11" fillId="0" borderId="0" xfId="0" applyFont="1" applyAlignment="1" applyProtection="1">
      <alignment horizontal="justify" vertical="center"/>
      <protection locked="0"/>
    </xf>
    <xf numFmtId="0" fontId="11" fillId="4" borderId="0" xfId="1" applyNumberFormat="1" applyFont="1" applyFill="1" applyAlignment="1">
      <alignment horizontal="justify" vertical="center"/>
    </xf>
    <xf numFmtId="0" fontId="11" fillId="2" borderId="0" xfId="1" applyNumberFormat="1" applyFont="1" applyFill="1" applyAlignment="1">
      <alignment horizontal="center" vertical="center"/>
    </xf>
    <xf numFmtId="0" fontId="11" fillId="0" borderId="0" xfId="1" applyNumberFormat="1" applyFont="1" applyAlignment="1">
      <alignment horizontal="center" vertical="center"/>
    </xf>
    <xf numFmtId="0" fontId="11" fillId="4" borderId="0" xfId="1" applyNumberFormat="1" applyFont="1" applyFill="1" applyAlignment="1">
      <alignment horizontal="center" vertical="center"/>
    </xf>
    <xf numFmtId="0" fontId="14" fillId="0" borderId="0" xfId="0" applyFont="1"/>
    <xf numFmtId="0" fontId="0" fillId="0" borderId="0" xfId="1" applyNumberFormat="1" applyFont="1" applyFill="1" applyAlignment="1">
      <alignment horizontal="center" vertical="center"/>
    </xf>
    <xf numFmtId="0" fontId="12" fillId="0" borderId="0" xfId="0" applyFont="1" applyAlignment="1">
      <alignment horizontal="left"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1" applyNumberFormat="1" applyFont="1" applyFill="1" applyBorder="1" applyAlignment="1" applyProtection="1">
      <alignment horizontal="justify" vertical="center"/>
    </xf>
    <xf numFmtId="0" fontId="0" fillId="0" borderId="1" xfId="1" applyNumberFormat="1" applyFont="1" applyFill="1" applyBorder="1" applyAlignment="1" applyProtection="1">
      <alignment horizontal="center" vertical="center"/>
    </xf>
    <xf numFmtId="0" fontId="0" fillId="0" borderId="1" xfId="0" applyBorder="1" applyAlignment="1">
      <alignment horizontal="justify" vertical="center"/>
    </xf>
    <xf numFmtId="0" fontId="2" fillId="0" borderId="1" xfId="1" applyNumberFormat="1" applyFont="1" applyFill="1" applyBorder="1" applyAlignment="1">
      <alignment horizontal="right" vertical="center"/>
    </xf>
    <xf numFmtId="0" fontId="0" fillId="0" borderId="0" xfId="1" applyNumberFormat="1" applyFont="1" applyFill="1" applyBorder="1" applyAlignment="1">
      <alignment horizontal="right" vertical="center"/>
    </xf>
    <xf numFmtId="0" fontId="0" fillId="0" borderId="0" xfId="1" applyNumberFormat="1" applyFont="1" applyFill="1" applyBorder="1" applyAlignment="1" applyProtection="1">
      <alignment horizontal="center" vertical="center"/>
    </xf>
    <xf numFmtId="0" fontId="11" fillId="0" borderId="0" xfId="0" applyFont="1" applyAlignment="1">
      <alignment horizontal="center" vertical="center"/>
    </xf>
    <xf numFmtId="0" fontId="2" fillId="3" borderId="3" xfId="0" applyFont="1" applyFill="1" applyBorder="1" applyAlignment="1">
      <alignment horizontal="center" vertical="center"/>
    </xf>
    <xf numFmtId="0" fontId="17" fillId="0" borderId="1" xfId="1" applyNumberFormat="1" applyFont="1" applyFill="1" applyBorder="1" applyAlignment="1" applyProtection="1">
      <alignment horizontal="center" vertical="center"/>
    </xf>
    <xf numFmtId="0" fontId="0" fillId="2" borderId="0" xfId="0" applyFill="1" applyAlignment="1" applyProtection="1">
      <alignment horizontal="left" vertical="center" wrapText="1"/>
      <protection hidden="1"/>
    </xf>
    <xf numFmtId="0" fontId="0" fillId="2" borderId="0" xfId="0" applyFill="1" applyAlignment="1" applyProtection="1">
      <alignment horizontal="center" vertical="center" wrapText="1"/>
      <protection hidden="1"/>
    </xf>
    <xf numFmtId="0" fontId="0" fillId="0" borderId="0" xfId="0" applyAlignment="1" applyProtection="1">
      <alignment horizontal="left" vertical="center" wrapText="1"/>
      <protection hidden="1"/>
    </xf>
    <xf numFmtId="0" fontId="0" fillId="0" borderId="0" xfId="0" applyAlignment="1" applyProtection="1">
      <alignment horizontal="center" vertical="center" wrapText="1"/>
      <protection hidden="1"/>
    </xf>
    <xf numFmtId="0" fontId="9" fillId="0" borderId="1" xfId="0" applyFont="1" applyBorder="1" applyAlignment="1" applyProtection="1">
      <alignment horizontal="left" vertical="center" wrapText="1"/>
      <protection hidden="1"/>
    </xf>
    <xf numFmtId="0" fontId="9" fillId="0" borderId="1" xfId="0" quotePrefix="1" applyFont="1" applyBorder="1" applyAlignment="1" applyProtection="1">
      <alignment horizontal="left" vertical="center" wrapText="1"/>
      <protection hidden="1"/>
    </xf>
    <xf numFmtId="0" fontId="7" fillId="0" borderId="1" xfId="0" applyFont="1" applyBorder="1" applyAlignment="1" applyProtection="1">
      <alignment horizontal="left" vertical="center" wrapText="1"/>
      <protection hidden="1"/>
    </xf>
    <xf numFmtId="0" fontId="0" fillId="6" borderId="1" xfId="0" applyFill="1" applyBorder="1" applyAlignment="1" applyProtection="1">
      <alignment horizontal="left" vertical="center" wrapText="1"/>
      <protection hidden="1"/>
    </xf>
    <xf numFmtId="0" fontId="21" fillId="7" borderId="1" xfId="0" applyFont="1" applyFill="1" applyBorder="1" applyAlignment="1" applyProtection="1">
      <alignment horizontal="center" vertical="center" wrapText="1"/>
      <protection hidden="1"/>
    </xf>
    <xf numFmtId="0" fontId="11" fillId="2" borderId="0" xfId="0" applyFont="1" applyFill="1" applyAlignment="1" applyProtection="1">
      <alignment horizontal="justify" vertical="center"/>
      <protection hidden="1"/>
    </xf>
    <xf numFmtId="0" fontId="11" fillId="2" borderId="0" xfId="1" applyNumberFormat="1" applyFont="1" applyFill="1" applyBorder="1" applyAlignment="1" applyProtection="1">
      <alignment horizontal="justify" vertical="center"/>
      <protection hidden="1"/>
    </xf>
    <xf numFmtId="0" fontId="11" fillId="2" borderId="0" xfId="1" applyNumberFormat="1" applyFont="1" applyFill="1" applyBorder="1" applyAlignment="1" applyProtection="1">
      <alignment horizontal="center" vertical="center"/>
      <protection hidden="1"/>
    </xf>
    <xf numFmtId="0" fontId="11" fillId="4" borderId="0" xfId="0" applyFont="1" applyFill="1" applyAlignment="1" applyProtection="1">
      <alignment horizontal="justify" vertical="center"/>
      <protection hidden="1"/>
    </xf>
    <xf numFmtId="0" fontId="12" fillId="4" borderId="0" xfId="0" applyFont="1" applyFill="1" applyAlignment="1" applyProtection="1">
      <alignment horizontal="justify" vertical="center"/>
      <protection hidden="1"/>
    </xf>
    <xf numFmtId="0" fontId="11" fillId="4" borderId="0" xfId="1" applyNumberFormat="1" applyFont="1" applyFill="1" applyBorder="1" applyAlignment="1" applyProtection="1">
      <alignment horizontal="justify" vertical="center"/>
      <protection hidden="1"/>
    </xf>
    <xf numFmtId="0" fontId="11" fillId="4" borderId="0" xfId="1" applyNumberFormat="1" applyFont="1" applyFill="1" applyBorder="1" applyAlignment="1" applyProtection="1">
      <alignment horizontal="center" vertical="center"/>
      <protection hidden="1"/>
    </xf>
    <xf numFmtId="0" fontId="11" fillId="0" borderId="9" xfId="0" applyFont="1" applyBorder="1" applyAlignment="1" applyProtection="1">
      <alignment horizontal="justify" vertical="center"/>
      <protection hidden="1"/>
    </xf>
    <xf numFmtId="0" fontId="11" fillId="0" borderId="9" xfId="1" applyNumberFormat="1" applyFont="1" applyBorder="1" applyAlignment="1" applyProtection="1">
      <alignment horizontal="justify" vertical="center"/>
      <protection hidden="1"/>
    </xf>
    <xf numFmtId="0" fontId="11" fillId="0" borderId="9" xfId="1" applyNumberFormat="1" applyFont="1" applyBorder="1" applyAlignment="1" applyProtection="1">
      <alignment horizontal="center" vertical="center"/>
      <protection hidden="1"/>
    </xf>
    <xf numFmtId="0" fontId="13" fillId="0" borderId="9" xfId="0" applyFont="1" applyBorder="1" applyAlignment="1" applyProtection="1">
      <alignment horizontal="center" vertical="center" wrapText="1"/>
      <protection hidden="1"/>
    </xf>
    <xf numFmtId="0" fontId="26" fillId="10" borderId="9" xfId="0" applyFont="1" applyFill="1" applyBorder="1" applyAlignment="1" applyProtection="1">
      <alignment horizontal="center" vertical="center" wrapText="1"/>
      <protection hidden="1"/>
    </xf>
    <xf numFmtId="9" fontId="25" fillId="0" borderId="9" xfId="0" applyNumberFormat="1" applyFont="1" applyBorder="1" applyAlignment="1" applyProtection="1">
      <alignment horizontal="center" vertical="center" wrapText="1"/>
      <protection hidden="1"/>
    </xf>
    <xf numFmtId="9" fontId="27" fillId="0" borderId="9" xfId="0" applyNumberFormat="1" applyFont="1" applyBorder="1" applyAlignment="1" applyProtection="1">
      <alignment horizontal="center" vertical="center" wrapText="1"/>
      <protection hidden="1"/>
    </xf>
    <xf numFmtId="0" fontId="11" fillId="0" borderId="9" xfId="0" applyFont="1" applyBorder="1" applyAlignment="1">
      <alignment horizontal="justify" vertical="center"/>
    </xf>
    <xf numFmtId="0" fontId="11" fillId="0" borderId="9" xfId="1" applyNumberFormat="1" applyFont="1" applyBorder="1" applyAlignment="1">
      <alignment horizontal="justify" vertical="center"/>
    </xf>
    <xf numFmtId="0" fontId="11" fillId="0" borderId="9" xfId="1" applyNumberFormat="1" applyFont="1" applyBorder="1" applyAlignment="1">
      <alignment horizontal="center" vertical="center"/>
    </xf>
    <xf numFmtId="0" fontId="0" fillId="0" borderId="9" xfId="1" applyNumberFormat="1" applyFont="1" applyBorder="1" applyAlignment="1">
      <alignment horizontal="justify" vertical="center"/>
    </xf>
    <xf numFmtId="0" fontId="0" fillId="0" borderId="9" xfId="1" applyNumberFormat="1" applyFont="1" applyBorder="1" applyAlignment="1">
      <alignment horizontal="center" vertical="center"/>
    </xf>
    <xf numFmtId="0" fontId="11" fillId="0" borderId="9" xfId="0" applyFont="1" applyBorder="1" applyAlignment="1" applyProtection="1">
      <alignment horizontal="justify" vertical="center"/>
      <protection locked="0"/>
    </xf>
    <xf numFmtId="0" fontId="10" fillId="0" borderId="9" xfId="1" applyNumberFormat="1" applyFont="1" applyBorder="1" applyAlignment="1">
      <alignment horizontal="justify" vertical="center"/>
    </xf>
    <xf numFmtId="0" fontId="10" fillId="0" borderId="9" xfId="1" applyNumberFormat="1" applyFont="1" applyBorder="1" applyAlignment="1">
      <alignment horizontal="center" vertical="center"/>
    </xf>
    <xf numFmtId="0" fontId="18" fillId="0" borderId="9" xfId="1" applyNumberFormat="1" applyFont="1" applyBorder="1" applyAlignment="1">
      <alignment horizontal="justify" vertical="center"/>
    </xf>
    <xf numFmtId="0" fontId="10" fillId="0" borderId="9" xfId="0" applyFont="1" applyBorder="1" applyAlignment="1">
      <alignment horizontal="justify" vertical="center"/>
    </xf>
    <xf numFmtId="0" fontId="10" fillId="0" borderId="9" xfId="0" applyFont="1" applyBorder="1" applyAlignment="1">
      <alignment horizontal="center" vertical="center"/>
    </xf>
    <xf numFmtId="0" fontId="10" fillId="0" borderId="9" xfId="1" applyNumberFormat="1" applyFont="1" applyBorder="1" applyAlignment="1" applyProtection="1">
      <alignment horizontal="justify" vertical="center"/>
    </xf>
    <xf numFmtId="0" fontId="10" fillId="0" borderId="9" xfId="1" applyNumberFormat="1" applyFont="1" applyBorder="1" applyAlignment="1">
      <alignment horizontal="center" vertical="top"/>
    </xf>
    <xf numFmtId="0" fontId="10" fillId="0" borderId="9" xfId="1" applyNumberFormat="1" applyFont="1" applyBorder="1" applyAlignment="1">
      <alignment horizontal="justify" vertical="top" wrapText="1"/>
    </xf>
    <xf numFmtId="0" fontId="10" fillId="0" borderId="9" xfId="1" applyNumberFormat="1" applyFont="1" applyBorder="1" applyAlignment="1">
      <alignment horizontal="left" vertical="top" wrapText="1"/>
    </xf>
    <xf numFmtId="0" fontId="10" fillId="0" borderId="9" xfId="1" applyNumberFormat="1" applyFont="1" applyBorder="1" applyAlignment="1" applyProtection="1">
      <alignment horizontal="center" vertical="center"/>
    </xf>
    <xf numFmtId="0" fontId="10" fillId="0" borderId="9" xfId="1" applyNumberFormat="1" applyFont="1" applyBorder="1" applyAlignment="1" applyProtection="1">
      <alignment horizontal="justify" vertical="top"/>
    </xf>
    <xf numFmtId="0" fontId="10" fillId="0" borderId="9" xfId="1" applyNumberFormat="1" applyFont="1" applyBorder="1" applyAlignment="1" applyProtection="1">
      <alignment horizontal="center" vertical="top"/>
    </xf>
    <xf numFmtId="0" fontId="21" fillId="7" borderId="4" xfId="0" applyFont="1" applyFill="1" applyBorder="1" applyAlignment="1" applyProtection="1">
      <alignment horizontal="center" vertical="center" wrapText="1"/>
      <protection hidden="1"/>
    </xf>
    <xf numFmtId="0" fontId="0" fillId="0" borderId="9" xfId="0" applyBorder="1" applyAlignment="1" applyProtection="1">
      <alignment horizontal="left" vertical="center" wrapText="1"/>
      <protection hidden="1"/>
    </xf>
    <xf numFmtId="0" fontId="0" fillId="0" borderId="9" xfId="0" applyBorder="1" applyAlignment="1" applyProtection="1">
      <alignment horizontal="center" vertical="center" wrapText="1"/>
      <protection hidden="1"/>
    </xf>
    <xf numFmtId="0" fontId="23" fillId="8" borderId="20" xfId="0" applyFont="1" applyFill="1" applyBorder="1" applyAlignment="1" applyProtection="1">
      <alignment horizontal="center" vertical="center" wrapText="1"/>
      <protection hidden="1"/>
    </xf>
    <xf numFmtId="0" fontId="23" fillId="0" borderId="9" xfId="0" applyFont="1" applyBorder="1" applyAlignment="1" applyProtection="1">
      <alignment horizontal="center" vertical="center" wrapText="1"/>
      <protection hidden="1"/>
    </xf>
    <xf numFmtId="0" fontId="0" fillId="0" borderId="10" xfId="0" applyBorder="1" applyAlignment="1" applyProtection="1">
      <alignment horizontal="left" vertical="center" wrapText="1"/>
      <protection hidden="1"/>
    </xf>
    <xf numFmtId="0" fontId="0" fillId="0" borderId="10" xfId="0" applyBorder="1" applyAlignment="1" applyProtection="1">
      <alignment horizontal="center" vertical="center" wrapText="1"/>
      <protection hidden="1"/>
    </xf>
    <xf numFmtId="0" fontId="5" fillId="9" borderId="3" xfId="0" applyFont="1" applyFill="1"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8" fillId="0" borderId="3" xfId="0" applyFont="1" applyBorder="1" applyAlignment="1" applyProtection="1">
      <alignment vertical="center" wrapText="1"/>
      <protection hidden="1"/>
    </xf>
    <xf numFmtId="0" fontId="9" fillId="0" borderId="3" xfId="0" applyFont="1" applyBorder="1" applyAlignment="1" applyProtection="1">
      <alignment vertical="center" wrapText="1"/>
      <protection hidden="1"/>
    </xf>
    <xf numFmtId="0" fontId="4" fillId="0" borderId="3" xfId="0" applyFont="1" applyBorder="1" applyAlignment="1" applyProtection="1">
      <alignment horizontal="justify" vertical="center" wrapText="1"/>
      <protection hidden="1"/>
    </xf>
    <xf numFmtId="0" fontId="0" fillId="0" borderId="12" xfId="0" applyBorder="1" applyAlignment="1" applyProtection="1">
      <alignment horizontal="center" vertical="center" wrapText="1"/>
      <protection hidden="1"/>
    </xf>
    <xf numFmtId="0" fontId="5" fillId="9" borderId="21" xfId="0" applyFont="1" applyFill="1" applyBorder="1" applyAlignment="1" applyProtection="1">
      <alignment horizontal="center" vertical="center" wrapText="1"/>
      <protection hidden="1"/>
    </xf>
    <xf numFmtId="0" fontId="0" fillId="0" borderId="21" xfId="0" quotePrefix="1" applyBorder="1" applyAlignment="1" applyProtection="1">
      <alignment horizontal="center" vertical="center" wrapText="1"/>
      <protection hidden="1"/>
    </xf>
    <xf numFmtId="0" fontId="0" fillId="0" borderId="24" xfId="0" applyBorder="1" applyAlignment="1" applyProtection="1">
      <alignment horizontal="center" vertical="center" wrapText="1"/>
      <protection hidden="1"/>
    </xf>
    <xf numFmtId="0" fontId="0" fillId="0" borderId="25" xfId="0" applyBorder="1" applyAlignment="1" applyProtection="1">
      <alignment horizontal="left" vertical="center" wrapText="1"/>
      <protection hidden="1"/>
    </xf>
    <xf numFmtId="0" fontId="22" fillId="0" borderId="12" xfId="0" applyFont="1" applyBorder="1" applyAlignment="1" applyProtection="1">
      <alignment horizontal="center" vertical="center" wrapText="1"/>
      <protection hidden="1"/>
    </xf>
    <xf numFmtId="0" fontId="0" fillId="0" borderId="12" xfId="0" applyBorder="1" applyAlignment="1" applyProtection="1">
      <alignment horizontal="left" vertical="center" wrapText="1"/>
      <protection hidden="1"/>
    </xf>
    <xf numFmtId="2" fontId="0" fillId="0" borderId="1" xfId="1" applyNumberFormat="1" applyFont="1" applyFill="1" applyBorder="1" applyAlignment="1" applyProtection="1">
      <alignment horizontal="center" vertical="center"/>
    </xf>
    <xf numFmtId="2" fontId="0" fillId="0" borderId="1" xfId="2" applyNumberFormat="1" applyFont="1" applyFill="1" applyBorder="1" applyAlignment="1" applyProtection="1">
      <alignment horizontal="center" vertical="center"/>
    </xf>
    <xf numFmtId="0" fontId="29" fillId="0" borderId="9" xfId="0" applyFont="1" applyBorder="1" applyAlignment="1" applyProtection="1">
      <alignment vertical="center" wrapText="1"/>
      <protection hidden="1"/>
    </xf>
    <xf numFmtId="0" fontId="17" fillId="4" borderId="0" xfId="0" applyFont="1" applyFill="1" applyAlignment="1">
      <alignment horizontal="justify" vertical="center"/>
    </xf>
    <xf numFmtId="0" fontId="17" fillId="4" borderId="0" xfId="0" applyFont="1" applyFill="1" applyAlignment="1" applyProtection="1">
      <alignment horizontal="justify" vertical="center"/>
      <protection locked="0"/>
    </xf>
    <xf numFmtId="0" fontId="11" fillId="12" borderId="0" xfId="0" applyFont="1" applyFill="1" applyAlignment="1">
      <alignment horizontal="justify" vertical="center"/>
    </xf>
    <xf numFmtId="0" fontId="11" fillId="12" borderId="0" xfId="1" applyNumberFormat="1" applyFont="1" applyFill="1" applyAlignment="1">
      <alignment horizontal="justify" vertical="center"/>
    </xf>
    <xf numFmtId="0" fontId="11" fillId="12" borderId="0" xfId="1" applyNumberFormat="1" applyFont="1" applyFill="1" applyAlignment="1">
      <alignment horizontal="center" vertical="center"/>
    </xf>
    <xf numFmtId="0" fontId="0" fillId="12" borderId="0" xfId="0" applyFill="1" applyAlignment="1" applyProtection="1">
      <alignment horizontal="left" vertical="center" wrapText="1"/>
      <protection hidden="1"/>
    </xf>
    <xf numFmtId="0" fontId="0" fillId="12" borderId="0" xfId="0" applyFill="1" applyAlignment="1" applyProtection="1">
      <alignment horizontal="center" vertical="center" wrapText="1"/>
      <protection hidden="1"/>
    </xf>
    <xf numFmtId="0" fontId="1" fillId="0" borderId="3" xfId="0" applyFont="1" applyBorder="1" applyAlignment="1" applyProtection="1">
      <alignment horizontal="left" vertical="center" wrapText="1"/>
      <protection hidden="1"/>
    </xf>
    <xf numFmtId="0" fontId="1" fillId="0" borderId="22" xfId="0" quotePrefix="1" applyFont="1" applyBorder="1" applyAlignment="1" applyProtection="1">
      <alignment horizontal="center" vertical="center" wrapText="1"/>
      <protection hidden="1"/>
    </xf>
    <xf numFmtId="0" fontId="9" fillId="0" borderId="5" xfId="0" applyFont="1" applyBorder="1" applyAlignment="1" applyProtection="1">
      <alignment horizontal="left" vertical="center" wrapText="1"/>
      <protection hidden="1"/>
    </xf>
    <xf numFmtId="0" fontId="0" fillId="0" borderId="22" xfId="0" quotePrefix="1" applyBorder="1" applyAlignment="1" applyProtection="1">
      <alignment horizontal="center" vertical="center" wrapText="1"/>
      <protection hidden="1"/>
    </xf>
    <xf numFmtId="0" fontId="9" fillId="0" borderId="5" xfId="0" applyFont="1" applyBorder="1" applyAlignment="1" applyProtection="1">
      <alignment vertical="center" wrapText="1"/>
      <protection hidden="1"/>
    </xf>
    <xf numFmtId="0" fontId="7" fillId="0" borderId="20" xfId="0" applyFont="1" applyBorder="1" applyAlignment="1" applyProtection="1">
      <alignment horizontal="left" vertical="center" wrapText="1"/>
      <protection hidden="1"/>
    </xf>
    <xf numFmtId="0" fontId="9" fillId="0" borderId="20" xfId="0" applyFont="1" applyBorder="1" applyAlignment="1" applyProtection="1">
      <alignment horizontal="left" vertical="center" wrapText="1"/>
      <protection hidden="1"/>
    </xf>
    <xf numFmtId="0" fontId="4" fillId="0" borderId="36" xfId="0" applyFont="1" applyBorder="1" applyAlignment="1" applyProtection="1">
      <alignment horizontal="justify" vertical="center" wrapText="1"/>
      <protection hidden="1"/>
    </xf>
    <xf numFmtId="0" fontId="7" fillId="0" borderId="21" xfId="0" applyFont="1" applyBorder="1" applyAlignment="1" applyProtection="1">
      <alignment horizontal="left" vertical="center" wrapText="1"/>
      <protection hidden="1"/>
    </xf>
    <xf numFmtId="0" fontId="9" fillId="0" borderId="21" xfId="0" applyFont="1" applyBorder="1" applyAlignment="1" applyProtection="1">
      <alignment horizontal="left" vertical="center" wrapText="1"/>
      <protection hidden="1"/>
    </xf>
    <xf numFmtId="0" fontId="0" fillId="0" borderId="11" xfId="0" applyBorder="1" applyAlignment="1" applyProtection="1">
      <alignment horizontal="left" vertical="center" wrapText="1"/>
      <protection hidden="1"/>
    </xf>
    <xf numFmtId="0" fontId="1" fillId="0" borderId="1" xfId="0" quotePrefix="1" applyFont="1" applyBorder="1" applyAlignment="1" applyProtection="1">
      <alignment horizontal="left" vertical="center" wrapText="1"/>
      <protection hidden="1"/>
    </xf>
    <xf numFmtId="0" fontId="0" fillId="0" borderId="11" xfId="0" quotePrefix="1" applyBorder="1" applyAlignment="1" applyProtection="1">
      <alignment horizontal="left" vertical="center" wrapText="1"/>
      <protection hidden="1"/>
    </xf>
    <xf numFmtId="0" fontId="1" fillId="0" borderId="1" xfId="0" applyFont="1" applyBorder="1" applyAlignment="1" applyProtection="1">
      <alignment horizontal="left" vertical="center" wrapText="1"/>
      <protection hidden="1"/>
    </xf>
    <xf numFmtId="0" fontId="1" fillId="9" borderId="1" xfId="0" applyFont="1" applyFill="1" applyBorder="1" applyAlignment="1" applyProtection="1">
      <alignment horizontal="left" vertical="center" wrapText="1"/>
      <protection hidden="1"/>
    </xf>
    <xf numFmtId="0" fontId="1" fillId="9" borderId="1" xfId="0" applyFont="1" applyFill="1" applyBorder="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1" fillId="0" borderId="24" xfId="0" applyFont="1" applyBorder="1" applyAlignment="1" applyProtection="1">
      <alignment horizontal="center" vertical="center" wrapText="1"/>
      <protection hidden="1"/>
    </xf>
    <xf numFmtId="0" fontId="1" fillId="0" borderId="25" xfId="0" applyFont="1" applyBorder="1" applyAlignment="1" applyProtection="1">
      <alignment horizontal="left" vertical="center" wrapText="1"/>
      <protection hidden="1"/>
    </xf>
    <xf numFmtId="0" fontId="1" fillId="0" borderId="2" xfId="0" applyFont="1" applyBorder="1" applyAlignment="1" applyProtection="1">
      <alignment horizontal="left" vertical="center" wrapText="1"/>
      <protection hidden="1"/>
    </xf>
    <xf numFmtId="0" fontId="1" fillId="0" borderId="26" xfId="0" applyFont="1" applyBorder="1" applyAlignment="1" applyProtection="1">
      <alignment horizontal="center" vertical="center" wrapText="1"/>
      <protection hidden="1"/>
    </xf>
    <xf numFmtId="0" fontId="1" fillId="0" borderId="21" xfId="0" quotePrefix="1" applyFont="1" applyBorder="1" applyAlignment="1" applyProtection="1">
      <alignment horizontal="center" vertical="center" wrapText="1"/>
      <protection hidden="1"/>
    </xf>
    <xf numFmtId="0" fontId="1" fillId="0" borderId="35" xfId="0" applyFont="1" applyBorder="1" applyAlignment="1" applyProtection="1">
      <alignment horizontal="center" vertical="center" wrapText="1"/>
      <protection hidden="1"/>
    </xf>
    <xf numFmtId="0" fontId="1" fillId="0" borderId="6" xfId="0" applyFont="1" applyBorder="1" applyAlignment="1" applyProtection="1">
      <alignment horizontal="left" vertical="center" wrapText="1"/>
      <protection hidden="1"/>
    </xf>
    <xf numFmtId="0" fontId="1" fillId="0" borderId="8" xfId="0" applyFont="1" applyBorder="1" applyAlignment="1" applyProtection="1">
      <alignment horizontal="left" vertical="center" wrapText="1"/>
      <protection hidden="1"/>
    </xf>
    <xf numFmtId="0" fontId="1" fillId="0" borderId="37" xfId="0" applyFont="1" applyBorder="1" applyAlignment="1" applyProtection="1">
      <alignment horizontal="center" vertical="center" wrapText="1"/>
      <protection hidden="1"/>
    </xf>
    <xf numFmtId="0" fontId="1" fillId="0" borderId="20" xfId="0" applyFont="1" applyBorder="1" applyAlignment="1" applyProtection="1">
      <alignment horizontal="center" vertical="center" wrapText="1"/>
      <protection hidden="1"/>
    </xf>
    <xf numFmtId="0" fontId="1" fillId="0" borderId="4" xfId="0" applyFont="1" applyBorder="1" applyAlignment="1" applyProtection="1">
      <alignment horizontal="center" vertical="center" wrapText="1"/>
      <protection hidden="1"/>
    </xf>
    <xf numFmtId="0" fontId="9" fillId="0" borderId="1" xfId="0" applyFont="1" applyBorder="1" applyAlignment="1" applyProtection="1">
      <alignment vertical="center" wrapText="1"/>
      <protection hidden="1"/>
    </xf>
    <xf numFmtId="49" fontId="1" fillId="0" borderId="38" xfId="0" quotePrefix="1" applyNumberFormat="1" applyFont="1" applyBorder="1" applyAlignment="1" applyProtection="1">
      <alignment horizontal="center" vertical="center" wrapText="1"/>
      <protection hidden="1"/>
    </xf>
    <xf numFmtId="0" fontId="10" fillId="0" borderId="18" xfId="0" applyFont="1" applyBorder="1" applyAlignment="1" applyProtection="1">
      <alignment vertical="top" wrapText="1"/>
      <protection hidden="1"/>
    </xf>
    <xf numFmtId="0" fontId="1" fillId="0" borderId="21" xfId="0" applyFont="1" applyBorder="1" applyAlignment="1" applyProtection="1">
      <alignment vertical="center" wrapText="1"/>
      <protection hidden="1"/>
    </xf>
    <xf numFmtId="0" fontId="1" fillId="0" borderId="2" xfId="0" applyFont="1" applyBorder="1" applyAlignment="1" applyProtection="1">
      <alignment horizontal="center" vertical="center" wrapText="1"/>
      <protection hidden="1"/>
    </xf>
    <xf numFmtId="0" fontId="1" fillId="0" borderId="6" xfId="0" applyFont="1" applyBorder="1" applyAlignment="1" applyProtection="1">
      <alignment horizontal="center" vertical="center" wrapText="1"/>
      <protection hidden="1"/>
    </xf>
    <xf numFmtId="0" fontId="35" fillId="9" borderId="1" xfId="0" applyFont="1" applyFill="1" applyBorder="1" applyAlignment="1" applyProtection="1">
      <alignment horizontal="left" vertical="center" wrapText="1"/>
      <protection hidden="1"/>
    </xf>
    <xf numFmtId="0" fontId="0" fillId="0" borderId="1" xfId="0" quotePrefix="1" applyBorder="1" applyAlignment="1" applyProtection="1">
      <alignment horizontal="center" vertical="center" wrapText="1"/>
      <protection hidden="1"/>
    </xf>
    <xf numFmtId="0" fontId="37" fillId="9" borderId="23" xfId="0" applyFont="1" applyFill="1" applyBorder="1" applyAlignment="1" applyProtection="1">
      <alignment horizontal="center" vertical="center" wrapText="1"/>
      <protection hidden="1"/>
    </xf>
    <xf numFmtId="0" fontId="37" fillId="9" borderId="6" xfId="0" applyFont="1" applyFill="1" applyBorder="1" applyAlignment="1" applyProtection="1">
      <alignment horizontal="left" vertical="center" wrapText="1"/>
      <protection hidden="1"/>
    </xf>
    <xf numFmtId="0" fontId="9" fillId="9" borderId="4" xfId="0" applyFont="1" applyFill="1" applyBorder="1" applyAlignment="1" applyProtection="1">
      <alignment horizontal="left" vertical="center" wrapText="1"/>
      <protection hidden="1"/>
    </xf>
    <xf numFmtId="0" fontId="9" fillId="9" borderId="1" xfId="0" applyFont="1" applyFill="1" applyBorder="1" applyAlignment="1" applyProtection="1">
      <alignment horizontal="center" vertical="center" wrapText="1"/>
      <protection hidden="1"/>
    </xf>
    <xf numFmtId="0" fontId="9" fillId="9" borderId="1" xfId="0" applyFont="1" applyFill="1" applyBorder="1" applyAlignment="1" applyProtection="1">
      <alignment horizontal="left" vertical="center" wrapText="1"/>
      <protection hidden="1"/>
    </xf>
    <xf numFmtId="0" fontId="9" fillId="0" borderId="4" xfId="0" applyFont="1" applyBorder="1" applyAlignment="1" applyProtection="1">
      <alignment horizontal="left" vertical="center" wrapText="1"/>
      <protection hidden="1"/>
    </xf>
    <xf numFmtId="0" fontId="0" fillId="0" borderId="0" xfId="0" applyAlignment="1" applyProtection="1">
      <alignment horizontal="left" vertical="center" wrapText="1"/>
      <protection locked="0" hidden="1"/>
    </xf>
    <xf numFmtId="0" fontId="9" fillId="0" borderId="3" xfId="0" quotePrefix="1" applyFont="1" applyBorder="1" applyAlignment="1" applyProtection="1">
      <alignment horizontal="left" vertical="center" wrapText="1"/>
      <protection hidden="1"/>
    </xf>
    <xf numFmtId="0" fontId="9" fillId="0" borderId="44" xfId="0" applyFont="1" applyBorder="1" applyAlignment="1" applyProtection="1">
      <alignment horizontal="left" vertical="center" wrapText="1"/>
      <protection hidden="1"/>
    </xf>
    <xf numFmtId="0" fontId="9" fillId="0" borderId="43" xfId="0" applyFont="1" applyBorder="1" applyAlignment="1" applyProtection="1">
      <alignment horizontal="left" vertical="center" wrapText="1"/>
      <protection hidden="1"/>
    </xf>
    <xf numFmtId="0" fontId="1" fillId="0" borderId="46" xfId="0" quotePrefix="1" applyFont="1" applyBorder="1" applyAlignment="1" applyProtection="1">
      <alignment horizontal="center" vertical="center" wrapText="1"/>
      <protection hidden="1"/>
    </xf>
    <xf numFmtId="0" fontId="1" fillId="0" borderId="45" xfId="0" quotePrefix="1" applyFont="1" applyBorder="1" applyAlignment="1" applyProtection="1">
      <alignment horizontal="center" vertical="center" wrapText="1"/>
      <protection hidden="1"/>
    </xf>
    <xf numFmtId="0" fontId="31" fillId="12" borderId="47" xfId="0" applyFont="1" applyFill="1" applyBorder="1" applyAlignment="1" applyProtection="1">
      <alignment horizontal="center" vertical="center" wrapText="1"/>
      <protection hidden="1"/>
    </xf>
    <xf numFmtId="0" fontId="9" fillId="12" borderId="48" xfId="0" applyFont="1" applyFill="1" applyBorder="1" applyAlignment="1" applyProtection="1">
      <alignment horizontal="right" vertical="center" wrapText="1"/>
      <protection locked="0" hidden="1"/>
    </xf>
    <xf numFmtId="0" fontId="9" fillId="12" borderId="41" xfId="0" applyFont="1" applyFill="1" applyBorder="1" applyAlignment="1" applyProtection="1">
      <alignment horizontal="right" vertical="center" wrapText="1"/>
      <protection locked="0" hidden="1"/>
    </xf>
    <xf numFmtId="0" fontId="9" fillId="12" borderId="46" xfId="0" applyFont="1" applyFill="1" applyBorder="1" applyAlignment="1" applyProtection="1">
      <alignment horizontal="right" vertical="center" wrapText="1"/>
      <protection locked="0" hidden="1"/>
    </xf>
    <xf numFmtId="0" fontId="1" fillId="0" borderId="20" xfId="0" applyFont="1" applyBorder="1" applyAlignment="1" applyProtection="1">
      <alignment horizontal="left" vertical="center" wrapText="1"/>
      <protection hidden="1"/>
    </xf>
    <xf numFmtId="20" fontId="1" fillId="0" borderId="1" xfId="0" quotePrefix="1" applyNumberFormat="1" applyFont="1" applyBorder="1" applyAlignment="1" applyProtection="1">
      <alignment horizontal="left" vertical="center" wrapText="1"/>
      <protection hidden="1"/>
    </xf>
    <xf numFmtId="0" fontId="0" fillId="0" borderId="20" xfId="0" applyBorder="1" applyAlignment="1" applyProtection="1">
      <alignment horizontal="left" vertical="center" wrapText="1"/>
      <protection hidden="1"/>
    </xf>
    <xf numFmtId="0" fontId="1" fillId="0" borderId="49" xfId="0" applyFont="1" applyBorder="1" applyAlignment="1" applyProtection="1">
      <alignment horizontal="center" vertical="center" wrapText="1"/>
      <protection hidden="1"/>
    </xf>
    <xf numFmtId="0" fontId="1" fillId="0" borderId="50" xfId="0" applyFont="1" applyBorder="1" applyAlignment="1" applyProtection="1">
      <alignment horizontal="left" vertical="center" wrapText="1"/>
      <protection hidden="1"/>
    </xf>
    <xf numFmtId="0" fontId="1" fillId="13" borderId="51" xfId="0" applyFont="1" applyFill="1" applyBorder="1" applyAlignment="1" applyProtection="1">
      <alignment horizontal="center" vertical="center" wrapText="1"/>
      <protection hidden="1"/>
    </xf>
    <xf numFmtId="0" fontId="1" fillId="0" borderId="52" xfId="0" applyFont="1" applyBorder="1" applyAlignment="1" applyProtection="1">
      <alignment horizontal="left" vertical="center" wrapText="1"/>
      <protection hidden="1"/>
    </xf>
    <xf numFmtId="0" fontId="0" fillId="0" borderId="21" xfId="0" applyBorder="1" applyAlignment="1" applyProtection="1">
      <alignment horizontal="center" vertical="center" wrapText="1"/>
      <protection hidden="1"/>
    </xf>
    <xf numFmtId="49" fontId="1" fillId="0" borderId="22" xfId="0" quotePrefix="1" applyNumberFormat="1" applyFont="1" applyBorder="1" applyAlignment="1" applyProtection="1">
      <alignment horizontal="center" vertical="center" wrapText="1"/>
      <protection hidden="1"/>
    </xf>
    <xf numFmtId="0" fontId="0" fillId="0" borderId="1" xfId="0" applyBorder="1" applyAlignment="1" applyProtection="1">
      <alignment horizontal="left" vertical="center" wrapText="1"/>
      <protection hidden="1"/>
    </xf>
    <xf numFmtId="0" fontId="9" fillId="0" borderId="21" xfId="0" applyFont="1" applyBorder="1" applyAlignment="1" applyProtection="1">
      <alignment vertical="center" wrapText="1"/>
      <protection hidden="1"/>
    </xf>
    <xf numFmtId="0" fontId="1" fillId="0" borderId="21" xfId="0" applyFont="1" applyBorder="1" applyAlignment="1" applyProtection="1">
      <alignment horizontal="center" vertical="center" wrapText="1"/>
      <protection hidden="1"/>
    </xf>
    <xf numFmtId="0" fontId="1" fillId="0" borderId="1" xfId="0" applyFont="1" applyBorder="1" applyAlignment="1" applyProtection="1">
      <alignment horizontal="center" vertical="center" wrapText="1"/>
      <protection locked="0" hidden="1"/>
    </xf>
    <xf numFmtId="0" fontId="1" fillId="0" borderId="21" xfId="0" applyFont="1" applyBorder="1" applyAlignment="1" applyProtection="1">
      <alignment horizontal="center" vertical="center" wrapText="1"/>
      <protection locked="0" hidden="1"/>
    </xf>
    <xf numFmtId="0" fontId="11" fillId="12" borderId="9" xfId="0" applyFont="1" applyFill="1" applyBorder="1" applyAlignment="1" applyProtection="1">
      <alignment horizontal="justify" vertical="center"/>
      <protection hidden="1"/>
    </xf>
    <xf numFmtId="0" fontId="13" fillId="12" borderId="12" xfId="0" applyFont="1" applyFill="1" applyBorder="1" applyAlignment="1" applyProtection="1">
      <alignment horizontal="center" vertical="center" wrapText="1"/>
      <protection hidden="1"/>
    </xf>
    <xf numFmtId="0" fontId="11" fillId="12" borderId="10" xfId="0" applyFont="1" applyFill="1" applyBorder="1" applyAlignment="1" applyProtection="1">
      <alignment horizontal="justify" vertical="center"/>
      <protection hidden="1"/>
    </xf>
    <xf numFmtId="0" fontId="5" fillId="12" borderId="0" xfId="0" applyFont="1" applyFill="1" applyAlignment="1" applyProtection="1">
      <alignment horizontal="center" vertical="center"/>
      <protection hidden="1"/>
    </xf>
    <xf numFmtId="0" fontId="11" fillId="12" borderId="11" xfId="0" applyFont="1" applyFill="1" applyBorder="1" applyAlignment="1" applyProtection="1">
      <alignment horizontal="justify" vertical="center"/>
      <protection hidden="1"/>
    </xf>
    <xf numFmtId="0" fontId="1" fillId="12" borderId="16" xfId="0" applyFont="1" applyFill="1" applyBorder="1" applyAlignment="1" applyProtection="1">
      <alignment horizontal="center" vertical="center"/>
      <protection hidden="1"/>
    </xf>
    <xf numFmtId="0" fontId="1" fillId="12" borderId="15" xfId="0" applyFont="1" applyFill="1" applyBorder="1" applyAlignment="1" applyProtection="1">
      <alignment horizontal="center" vertical="center"/>
      <protection hidden="1"/>
    </xf>
    <xf numFmtId="0" fontId="11" fillId="12" borderId="31" xfId="0" applyFont="1" applyFill="1" applyBorder="1" applyAlignment="1" applyProtection="1">
      <alignment horizontal="justify" vertical="center"/>
      <protection hidden="1"/>
    </xf>
    <xf numFmtId="0" fontId="1" fillId="12" borderId="18" xfId="0" applyFont="1" applyFill="1" applyBorder="1" applyAlignment="1" applyProtection="1">
      <alignment horizontal="center" vertical="center"/>
      <protection hidden="1"/>
    </xf>
    <xf numFmtId="0" fontId="5" fillId="15" borderId="39" xfId="0" applyFont="1" applyFill="1" applyBorder="1" applyAlignment="1" applyProtection="1">
      <alignment vertical="center"/>
      <protection hidden="1"/>
    </xf>
    <xf numFmtId="0" fontId="5" fillId="15" borderId="0" xfId="0" applyFont="1" applyFill="1" applyAlignment="1" applyProtection="1">
      <alignment horizontal="center" vertical="center"/>
      <protection hidden="1"/>
    </xf>
    <xf numFmtId="0" fontId="1" fillId="12" borderId="13" xfId="0" applyFont="1" applyFill="1" applyBorder="1" applyAlignment="1" applyProtection="1">
      <alignment horizontal="center" vertical="center"/>
      <protection hidden="1"/>
    </xf>
    <xf numFmtId="0" fontId="1" fillId="12" borderId="13" xfId="0" applyFont="1" applyFill="1" applyBorder="1" applyAlignment="1" applyProtection="1">
      <alignment horizontal="left" vertical="center" wrapText="1"/>
      <protection hidden="1"/>
    </xf>
    <xf numFmtId="0" fontId="10" fillId="0" borderId="18" xfId="0" applyFont="1" applyBorder="1" applyAlignment="1" applyProtection="1">
      <alignment vertical="top" wrapText="1"/>
      <protection locked="0"/>
    </xf>
    <xf numFmtId="0" fontId="10" fillId="12" borderId="0" xfId="1" applyNumberFormat="1" applyFont="1" applyFill="1" applyBorder="1" applyAlignment="1">
      <alignment horizontal="center" vertical="center"/>
    </xf>
    <xf numFmtId="0" fontId="10" fillId="0" borderId="17" xfId="0" applyFont="1" applyBorder="1" applyAlignment="1" applyProtection="1">
      <alignment horizontal="left" vertical="top" wrapText="1"/>
      <protection locked="0"/>
    </xf>
    <xf numFmtId="0" fontId="10" fillId="0" borderId="9" xfId="0" applyFont="1" applyBorder="1" applyAlignment="1">
      <alignment horizontal="center" vertical="center"/>
    </xf>
    <xf numFmtId="0" fontId="10" fillId="0" borderId="13" xfId="0" applyFont="1" applyBorder="1" applyAlignment="1" applyProtection="1">
      <alignment horizontal="center" vertical="center"/>
      <protection locked="0"/>
    </xf>
    <xf numFmtId="0" fontId="10" fillId="0" borderId="13" xfId="0" applyFont="1" applyBorder="1" applyAlignment="1" applyProtection="1">
      <alignment horizontal="center" vertical="center"/>
      <protection hidden="1"/>
    </xf>
    <xf numFmtId="0" fontId="28" fillId="0" borderId="9" xfId="3" applyBorder="1" applyAlignment="1" applyProtection="1">
      <alignment horizontal="right" vertical="center"/>
      <protection hidden="1"/>
    </xf>
    <xf numFmtId="0" fontId="18" fillId="0" borderId="9" xfId="1" applyNumberFormat="1" applyFont="1" applyBorder="1" applyAlignment="1">
      <alignment horizontal="justify" vertical="center" wrapText="1"/>
    </xf>
    <xf numFmtId="0" fontId="24" fillId="8" borderId="0" xfId="1" applyNumberFormat="1" applyFont="1" applyFill="1" applyAlignment="1">
      <alignment horizontal="left" vertical="center"/>
    </xf>
    <xf numFmtId="0" fontId="24" fillId="11" borderId="0" xfId="1" applyNumberFormat="1" applyFont="1" applyFill="1" applyAlignment="1">
      <alignment horizontal="left" vertical="center"/>
    </xf>
    <xf numFmtId="0" fontId="10" fillId="0" borderId="19" xfId="0" applyFont="1" applyBorder="1" applyAlignment="1" applyProtection="1">
      <alignment horizontal="left" vertical="top" wrapText="1"/>
      <protection locked="0"/>
    </xf>
    <xf numFmtId="0" fontId="10" fillId="0" borderId="18" xfId="0" applyFont="1" applyBorder="1" applyAlignment="1" applyProtection="1">
      <alignment horizontal="left" vertical="top" wrapText="1"/>
      <protection locked="0"/>
    </xf>
    <xf numFmtId="0" fontId="18" fillId="12" borderId="0" xfId="1" applyNumberFormat="1" applyFont="1" applyFill="1" applyBorder="1" applyAlignment="1">
      <alignment horizontal="center" vertical="center" wrapText="1"/>
    </xf>
    <xf numFmtId="0" fontId="11" fillId="0" borderId="9" xfId="0" applyFont="1" applyBorder="1" applyAlignment="1">
      <alignment horizontal="center" vertical="center"/>
    </xf>
    <xf numFmtId="0" fontId="0" fillId="0" borderId="9" xfId="0" applyBorder="1" applyAlignment="1">
      <alignment horizontal="center" vertical="center"/>
    </xf>
    <xf numFmtId="0" fontId="33" fillId="0" borderId="9" xfId="0" applyFont="1" applyBorder="1" applyAlignment="1">
      <alignment horizontal="center" vertical="center" wrapText="1"/>
    </xf>
    <xf numFmtId="0" fontId="32" fillId="0" borderId="9" xfId="0" applyFont="1" applyBorder="1" applyAlignment="1">
      <alignment horizontal="center" vertical="center" wrapText="1"/>
    </xf>
    <xf numFmtId="0" fontId="10" fillId="0" borderId="27" xfId="0" applyFont="1" applyBorder="1" applyAlignment="1" applyProtection="1">
      <alignment horizontal="left" vertical="top" wrapText="1"/>
      <protection locked="0"/>
    </xf>
    <xf numFmtId="0" fontId="10" fillId="0" borderId="28" xfId="0" applyFont="1" applyBorder="1" applyAlignment="1" applyProtection="1">
      <alignment horizontal="left" vertical="top" wrapText="1"/>
      <protection locked="0"/>
    </xf>
    <xf numFmtId="0" fontId="10" fillId="0" borderId="29" xfId="0" applyFont="1" applyBorder="1" applyAlignment="1" applyProtection="1">
      <alignment horizontal="left" vertical="top" wrapText="1"/>
      <protection locked="0"/>
    </xf>
    <xf numFmtId="0" fontId="10" fillId="0" borderId="30" xfId="0" applyFont="1" applyBorder="1" applyAlignment="1" applyProtection="1">
      <alignment horizontal="left" vertical="top" wrapText="1"/>
      <protection locked="0"/>
    </xf>
    <xf numFmtId="0" fontId="10" fillId="0" borderId="13" xfId="0" applyFont="1" applyBorder="1" applyAlignment="1">
      <alignment horizontal="center" vertical="center"/>
    </xf>
    <xf numFmtId="0" fontId="10" fillId="0" borderId="18" xfId="0" applyFont="1" applyBorder="1" applyAlignment="1" applyProtection="1">
      <alignment horizontal="right" vertical="top" wrapText="1"/>
      <protection locked="0"/>
    </xf>
    <xf numFmtId="0" fontId="10" fillId="0" borderId="9" xfId="1" applyNumberFormat="1" applyFont="1" applyBorder="1" applyAlignment="1">
      <alignment horizontal="left" vertical="top" wrapText="1"/>
    </xf>
    <xf numFmtId="0" fontId="10" fillId="0" borderId="9" xfId="1" applyNumberFormat="1" applyFont="1" applyBorder="1" applyAlignment="1">
      <alignment horizontal="center" vertical="top"/>
    </xf>
    <xf numFmtId="0" fontId="10" fillId="0" borderId="33" xfId="0" applyFont="1" applyBorder="1" applyAlignment="1" applyProtection="1">
      <alignment horizontal="right" vertical="top" wrapText="1"/>
      <protection locked="0"/>
    </xf>
    <xf numFmtId="0" fontId="10" fillId="0" borderId="34" xfId="0" applyFont="1" applyBorder="1" applyAlignment="1" applyProtection="1">
      <alignment horizontal="right" vertical="top" wrapText="1"/>
      <protection locked="0"/>
    </xf>
    <xf numFmtId="0" fontId="1" fillId="0" borderId="2" xfId="0" applyFont="1" applyBorder="1" applyAlignment="1" applyProtection="1">
      <alignment horizontal="center" vertical="center" wrapText="1"/>
      <protection hidden="1"/>
    </xf>
    <xf numFmtId="0" fontId="1" fillId="0" borderId="3" xfId="0" applyFont="1" applyBorder="1" applyAlignment="1" applyProtection="1">
      <alignment horizontal="center" vertical="center" wrapText="1"/>
      <protection hidden="1"/>
    </xf>
    <xf numFmtId="0" fontId="0" fillId="0" borderId="9" xfId="0" applyBorder="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0" fillId="14" borderId="2" xfId="0" applyFill="1" applyBorder="1" applyAlignment="1" applyProtection="1">
      <alignment horizontal="center" vertical="center" wrapText="1"/>
      <protection hidden="1"/>
    </xf>
    <xf numFmtId="0" fontId="0" fillId="14" borderId="3" xfId="0" applyFill="1" applyBorder="1" applyAlignment="1" applyProtection="1">
      <alignment horizontal="center" vertical="center" wrapText="1"/>
      <protection hidden="1"/>
    </xf>
    <xf numFmtId="0" fontId="1" fillId="0" borderId="20" xfId="0" applyFont="1" applyBorder="1" applyAlignment="1" applyProtection="1">
      <alignment horizontal="center" vertical="center" wrapText="1"/>
      <protection hidden="1"/>
    </xf>
    <xf numFmtId="0" fontId="1" fillId="0" borderId="41" xfId="0" applyFont="1" applyBorder="1" applyAlignment="1" applyProtection="1">
      <alignment horizontal="center" vertical="center" wrapText="1"/>
      <protection hidden="1"/>
    </xf>
    <xf numFmtId="0" fontId="9" fillId="0" borderId="1" xfId="0" applyFont="1" applyBorder="1" applyAlignment="1" applyProtection="1">
      <alignment horizontal="left" vertical="top" wrapText="1"/>
      <protection hidden="1"/>
    </xf>
    <xf numFmtId="0" fontId="0" fillId="12" borderId="0" xfId="0" applyFill="1" applyAlignment="1" applyProtection="1">
      <alignment horizontal="center" vertical="center" wrapText="1"/>
      <protection hidden="1"/>
    </xf>
    <xf numFmtId="0" fontId="1" fillId="0" borderId="21" xfId="0" applyFont="1" applyBorder="1" applyAlignment="1" applyProtection="1">
      <alignment horizontal="center" vertical="center" wrapText="1"/>
      <protection hidden="1"/>
    </xf>
    <xf numFmtId="0" fontId="1" fillId="0" borderId="7" xfId="0" applyFont="1" applyBorder="1" applyAlignment="1" applyProtection="1">
      <alignment horizontal="center" vertical="center" wrapText="1"/>
      <protection hidden="1"/>
    </xf>
    <xf numFmtId="0" fontId="1" fillId="0" borderId="5" xfId="0" applyFont="1" applyBorder="1" applyAlignment="1" applyProtection="1">
      <alignment horizontal="center" vertical="center" wrapText="1"/>
      <protection hidden="1"/>
    </xf>
    <xf numFmtId="0" fontId="1" fillId="0" borderId="8" xfId="0" applyFont="1" applyBorder="1" applyAlignment="1" applyProtection="1">
      <alignment horizontal="center" vertical="center" wrapText="1"/>
      <protection hidden="1"/>
    </xf>
    <xf numFmtId="0" fontId="1" fillId="0" borderId="6" xfId="0" applyFont="1" applyBorder="1" applyAlignment="1" applyProtection="1">
      <alignment horizontal="center" vertical="center" wrapText="1"/>
      <protection hidden="1"/>
    </xf>
    <xf numFmtId="0" fontId="30" fillId="0" borderId="10" xfId="0" applyFont="1" applyBorder="1" applyAlignment="1" applyProtection="1">
      <alignment horizontal="center" vertical="center" wrapText="1"/>
      <protection hidden="1"/>
    </xf>
    <xf numFmtId="0" fontId="30" fillId="0" borderId="32" xfId="0" applyFont="1" applyBorder="1" applyAlignment="1" applyProtection="1">
      <alignment horizontal="center" vertical="center" wrapText="1"/>
      <protection hidden="1"/>
    </xf>
    <xf numFmtId="0" fontId="30" fillId="0" borderId="11" xfId="0" applyFont="1" applyBorder="1" applyAlignment="1" applyProtection="1">
      <alignment horizontal="center" vertical="center" wrapText="1"/>
      <protection hidden="1"/>
    </xf>
    <xf numFmtId="0" fontId="21" fillId="7" borderId="4" xfId="0" applyFont="1" applyFill="1" applyBorder="1" applyAlignment="1" applyProtection="1">
      <alignment horizontal="center" vertical="center" wrapText="1"/>
      <protection hidden="1"/>
    </xf>
    <xf numFmtId="0" fontId="1" fillId="0" borderId="42" xfId="0" applyFont="1" applyBorder="1" applyAlignment="1" applyProtection="1">
      <alignment horizontal="center" vertical="center" wrapText="1"/>
      <protection hidden="1"/>
    </xf>
    <xf numFmtId="0" fontId="1" fillId="0" borderId="40" xfId="0" applyFont="1" applyBorder="1" applyAlignment="1" applyProtection="1">
      <alignment horizontal="center" vertical="center" wrapText="1"/>
      <protection hidden="1"/>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13" fillId="0" borderId="0" xfId="0" applyFont="1" applyAlignment="1">
      <alignment horizontal="center" vertical="center" wrapText="1"/>
    </xf>
    <xf numFmtId="0" fontId="15" fillId="5" borderId="0" xfId="0" applyFont="1" applyFill="1" applyAlignment="1">
      <alignment horizontal="center" vertical="center"/>
    </xf>
    <xf numFmtId="0" fontId="1" fillId="12" borderId="15" xfId="0" applyFont="1" applyFill="1" applyBorder="1" applyAlignment="1" applyProtection="1">
      <alignment horizontal="left" vertical="center" wrapText="1"/>
      <protection hidden="1"/>
    </xf>
    <xf numFmtId="0" fontId="1" fillId="12" borderId="16" xfId="0" applyFont="1" applyFill="1" applyBorder="1" applyAlignment="1" applyProtection="1">
      <alignment horizontal="left" vertical="center" wrapText="1"/>
      <protection hidden="1"/>
    </xf>
    <xf numFmtId="0" fontId="16" fillId="12" borderId="12" xfId="0" applyFont="1" applyFill="1" applyBorder="1" applyAlignment="1" applyProtection="1">
      <alignment horizontal="left" vertical="center"/>
      <protection hidden="1"/>
    </xf>
    <xf numFmtId="0" fontId="1" fillId="12" borderId="12" xfId="0" applyFont="1" applyFill="1" applyBorder="1" applyAlignment="1" applyProtection="1">
      <alignment horizontal="left" vertical="center"/>
      <protection hidden="1"/>
    </xf>
    <xf numFmtId="0" fontId="1" fillId="12" borderId="14" xfId="0" applyFont="1" applyFill="1" applyBorder="1" applyAlignment="1" applyProtection="1">
      <alignment horizontal="left" vertical="center"/>
      <protection hidden="1"/>
    </xf>
    <xf numFmtId="0" fontId="1" fillId="12" borderId="18" xfId="0" applyFont="1" applyFill="1" applyBorder="1" applyAlignment="1" applyProtection="1">
      <alignment horizontal="left" vertical="center" wrapText="1"/>
      <protection hidden="1"/>
    </xf>
    <xf numFmtId="0" fontId="16" fillId="12" borderId="9" xfId="0" applyFont="1" applyFill="1" applyBorder="1" applyAlignment="1" applyProtection="1">
      <alignment horizontal="left" vertical="center"/>
      <protection hidden="1"/>
    </xf>
    <xf numFmtId="0" fontId="5" fillId="15" borderId="32" xfId="0" applyFont="1" applyFill="1" applyBorder="1" applyAlignment="1" applyProtection="1">
      <alignment horizontal="left" vertical="center"/>
      <protection hidden="1"/>
    </xf>
    <xf numFmtId="0" fontId="5" fillId="15" borderId="39" xfId="0" applyFont="1" applyFill="1" applyBorder="1" applyAlignment="1" applyProtection="1">
      <alignment horizontal="left" vertical="center"/>
      <protection hidden="1"/>
    </xf>
    <xf numFmtId="0" fontId="19" fillId="0" borderId="9" xfId="0" applyFont="1" applyBorder="1" applyAlignment="1" applyProtection="1">
      <alignment horizontal="center" vertical="center" wrapText="1"/>
      <protection hidden="1"/>
    </xf>
    <xf numFmtId="0" fontId="13" fillId="0" borderId="9" xfId="0" applyFont="1" applyBorder="1" applyAlignment="1" applyProtection="1">
      <alignment horizontal="center" vertical="center" wrapText="1"/>
      <protection hidden="1"/>
    </xf>
    <xf numFmtId="0" fontId="26" fillId="10" borderId="9" xfId="0" applyFont="1" applyFill="1" applyBorder="1" applyAlignment="1" applyProtection="1">
      <alignment horizontal="center" vertical="center" wrapText="1"/>
      <protection hidden="1"/>
    </xf>
    <xf numFmtId="0" fontId="5" fillId="15" borderId="0" xfId="0" applyFont="1" applyFill="1" applyAlignment="1" applyProtection="1">
      <alignment horizontal="left" vertical="center"/>
      <protection hidden="1"/>
    </xf>
    <xf numFmtId="0" fontId="5" fillId="15" borderId="53" xfId="0" applyFont="1" applyFill="1" applyBorder="1" applyAlignment="1" applyProtection="1">
      <alignment horizontal="left" vertical="center"/>
      <protection hidden="1"/>
    </xf>
  </cellXfs>
  <cellStyles count="4">
    <cellStyle name="Comma [0]" xfId="1" builtinId="6"/>
    <cellStyle name="Hyperlink" xfId="3" builtinId="8"/>
    <cellStyle name="Normal" xfId="0" builtinId="0"/>
    <cellStyle name="Percent" xfId="2" builtinId="5"/>
  </cellStyles>
  <dxfs count="92">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patternType="none">
          <bgColor auto="1"/>
        </patternFill>
      </fill>
    </dxf>
    <dxf>
      <fill>
        <patternFill patternType="none">
          <bgColor auto="1"/>
        </patternFill>
      </fill>
    </dxf>
    <dxf>
      <font>
        <color theme="0"/>
      </font>
      <fill>
        <patternFill>
          <bgColor theme="9"/>
        </patternFill>
      </fill>
    </dxf>
    <dxf>
      <font>
        <color theme="5" tint="-0.499984740745262"/>
      </font>
      <fill>
        <patternFill>
          <bgColor theme="7"/>
        </patternFill>
      </fill>
    </dxf>
    <dxf>
      <font>
        <color theme="0"/>
      </font>
      <fill>
        <patternFill>
          <bgColor rgb="FFC00000"/>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bgColor rgb="FF92D050"/>
        </patternFill>
      </fill>
    </dxf>
    <dxf>
      <fill>
        <patternFill>
          <bgColor rgb="FFF69E00"/>
        </patternFill>
      </fill>
    </dxf>
    <dxf>
      <font>
        <color theme="0"/>
      </font>
      <fill>
        <patternFill>
          <bgColor rgb="FFF44702"/>
        </patternFill>
      </fill>
    </dxf>
    <dxf>
      <font>
        <color theme="0"/>
      </font>
      <fill>
        <patternFill>
          <bgColor rgb="FFC00000"/>
        </patternFill>
      </fill>
    </dxf>
    <dxf>
      <fill>
        <patternFill>
          <bgColor rgb="FF92D050"/>
        </patternFill>
      </fill>
    </dxf>
    <dxf>
      <fill>
        <patternFill>
          <bgColor rgb="FFF69E00"/>
        </patternFill>
      </fill>
    </dxf>
    <dxf>
      <font>
        <color theme="0"/>
      </font>
      <fill>
        <patternFill patternType="solid">
          <fgColor rgb="FFFD3535"/>
          <bgColor rgb="FFF44702"/>
        </patternFill>
      </fill>
    </dxf>
    <dxf>
      <font>
        <color theme="0"/>
      </font>
      <fill>
        <patternFill>
          <bgColor rgb="FFC00000"/>
        </patternFill>
      </fill>
    </dxf>
    <dxf>
      <fill>
        <patternFill>
          <bgColor theme="9" tint="0.39994506668294322"/>
        </patternFill>
      </fill>
    </dxf>
    <dxf>
      <fill>
        <patternFill>
          <bgColor rgb="FFF59E00"/>
        </patternFill>
      </fill>
    </dxf>
    <dxf>
      <font>
        <color theme="0"/>
      </font>
      <fill>
        <patternFill>
          <bgColor rgb="FFF44702"/>
        </patternFill>
      </fill>
    </dxf>
    <dxf>
      <font>
        <color theme="0"/>
      </font>
      <fill>
        <patternFill>
          <bgColor rgb="FFC0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tint="-0.14996795556505021"/>
        </patternFill>
      </fill>
    </dxf>
    <dxf>
      <font>
        <color theme="1"/>
      </font>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0" tint="-0.14996795556505021"/>
        </patternFill>
      </fill>
    </dxf>
    <dxf>
      <font>
        <color theme="0"/>
      </font>
    </dxf>
    <dxf>
      <font>
        <color theme="0"/>
      </font>
    </dxf>
    <dxf>
      <fill>
        <patternFill>
          <bgColor theme="0" tint="-0.14996795556505021"/>
        </patternFill>
      </fill>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bottom style="thin">
          <color theme="0"/>
        </bottom>
      </border>
    </dxf>
    <dxf>
      <fill>
        <patternFill patternType="none">
          <bgColor auto="1"/>
        </patternFill>
      </fill>
      <border>
        <bottom style="thin">
          <color theme="0"/>
        </bottom>
      </border>
    </dxf>
    <dxf>
      <border>
        <bottom style="thin">
          <color theme="0" tint="-0.14996795556505021"/>
        </bottom>
        <vertical/>
        <horizontal/>
      </border>
    </dxf>
    <dxf>
      <fill>
        <patternFill patternType="none">
          <bgColor auto="1"/>
        </patternFill>
      </fill>
    </dxf>
    <dxf>
      <fill>
        <patternFill patternType="none">
          <bgColor auto="1"/>
        </patternFill>
      </fill>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vertical/>
        <horizontal/>
      </border>
    </dxf>
    <dxf>
      <fill>
        <patternFill patternType="none">
          <bgColor auto="1"/>
        </patternFill>
      </fill>
      <border>
        <left style="thin">
          <color theme="0"/>
        </left>
        <right style="thin">
          <color theme="0"/>
        </right>
        <top style="thin">
          <color theme="0"/>
        </top>
        <bottom style="thin">
          <color theme="0"/>
        </bottom>
      </border>
    </dxf>
    <dxf>
      <fill>
        <patternFill>
          <bgColor theme="0" tint="-0.14996795556505021"/>
        </patternFill>
      </fill>
    </dxf>
    <dxf>
      <fill>
        <patternFill>
          <bgColor rgb="FFFFFF99"/>
        </patternFill>
      </fill>
      <border>
        <left/>
        <right/>
        <top/>
        <bottom/>
      </border>
    </dxf>
    <dxf>
      <fill>
        <patternFill patternType="none">
          <bgColor auto="1"/>
        </patternFill>
      </fill>
      <border>
        <left style="thin">
          <color theme="0"/>
        </left>
        <right style="thin">
          <color theme="0"/>
        </right>
        <top/>
        <bottom style="thin">
          <color theme="0"/>
        </bottom>
      </border>
    </dxf>
  </dxfs>
  <tableStyles count="0" defaultTableStyle="TableStyleMedium2" defaultPivotStyle="PivotStyleLight16"/>
  <colors>
    <mruColors>
      <color rgb="FFFFFF99"/>
      <color rgb="FFFFFFFF"/>
      <color rgb="FFBF9000"/>
      <color rgb="FFBDD7EE"/>
      <color rgb="FFCCECFF"/>
      <color rgb="FFF69E00"/>
      <color rgb="FF99CCFF"/>
      <color rgb="FFF44702"/>
      <color rgb="FFD1E3F3"/>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140732297366774"/>
          <c:y val="0.21668163073687041"/>
          <c:w val="0.39917181129413454"/>
          <c:h val="0.65670135358538828"/>
        </c:manualLayout>
      </c:layout>
      <c:radarChart>
        <c:radarStyle val="filled"/>
        <c:varyColors val="0"/>
        <c:ser>
          <c:idx val="0"/>
          <c:order val="0"/>
          <c:spPr>
            <a:solidFill>
              <a:schemeClr val="accent5">
                <a:lumMod val="75000"/>
              </a:schemeClr>
            </a:solidFill>
            <a:ln>
              <a:noFill/>
            </a:ln>
            <a:effectLst/>
          </c:spPr>
          <c:cat>
            <c:strRef>
              <c:f>'HIDE-Nilai'!$D$8:$D$16</c:f>
              <c:strCache>
                <c:ptCount val="9"/>
                <c:pt idx="0">
                  <c:v>Pengumpulan Data Pribadi Secara Terbatas, Spesifik serta Sah Secara Hukum</c:v>
                </c:pt>
                <c:pt idx="1">
                  <c:v>Kesesuaian Pemrosesan Data Pribadi dengan Tujuannya</c:v>
                </c:pt>
                <c:pt idx="2">
                  <c:v>Jaminan Hak Subjek Data Pribadi</c:v>
                </c:pt>
                <c:pt idx="3">
                  <c:v>Keakuratan dan Kelengkapan Pemrosesan Data Pribadi</c:v>
                </c:pt>
                <c:pt idx="4">
                  <c:v>Upaya Pengamanan Data Pribadi</c:v>
                </c:pt>
                <c:pt idx="5">
                  <c:v>Pemberitahuan Aktifitas Pemrosesan Data Pribadi dan Kegagalan PDP</c:v>
                </c:pt>
                <c:pt idx="6">
                  <c:v>Pemusnahan dan Penghapusan Data Pribadi</c:v>
                </c:pt>
                <c:pt idx="7">
                  <c:v>Tanggung Jawab dan Pembuktian Pemrosesan Data Pribadi</c:v>
                </c:pt>
                <c:pt idx="8">
                  <c:v>Pengiriman dan Pengungkapan Data Pribadi</c:v>
                </c:pt>
              </c:strCache>
            </c:strRef>
          </c:cat>
          <c:val>
            <c:numRef>
              <c:f>'HIDE-Nilai'!$H$8:$H$16</c:f>
              <c:numCache>
                <c:formatCode>0.00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8-47A9-4B16-9F7D-881298CEB188}"/>
            </c:ext>
          </c:extLst>
        </c:ser>
        <c:dLbls>
          <c:showLegendKey val="0"/>
          <c:showVal val="0"/>
          <c:showCatName val="0"/>
          <c:showSerName val="0"/>
          <c:showPercent val="0"/>
          <c:showBubbleSize val="0"/>
        </c:dLbls>
        <c:axId val="315227280"/>
        <c:axId val="315227608"/>
      </c:radarChart>
      <c:catAx>
        <c:axId val="315227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accent6">
                    <a:lumMod val="75000"/>
                  </a:schemeClr>
                </a:solidFill>
                <a:latin typeface="+mn-lt"/>
                <a:ea typeface="+mn-ea"/>
                <a:cs typeface="+mn-cs"/>
              </a:defRPr>
            </a:pPr>
            <a:endParaRPr lang="en-US"/>
          </a:p>
        </c:txPr>
        <c:crossAx val="315227608"/>
        <c:crosses val="autoZero"/>
        <c:auto val="1"/>
        <c:lblAlgn val="ctr"/>
        <c:lblOffset val="100"/>
        <c:noMultiLvlLbl val="0"/>
      </c:catAx>
      <c:valAx>
        <c:axId val="31522760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15227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J$25" lockText="1" noThreeD="1"/>
</file>

<file path=xl/ctrlProps/ctrlProp3.xml><?xml version="1.0" encoding="utf-8"?>
<formControlPr xmlns="http://schemas.microsoft.com/office/spreadsheetml/2009/9/main" objectType="CheckBox" fmlaLink="$K$25" lockText="1" noThreeD="1"/>
</file>

<file path=xl/ctrlProps/ctrlProp4.xml><?xml version="1.0" encoding="utf-8"?>
<formControlPr xmlns="http://schemas.microsoft.com/office/spreadsheetml/2009/9/main" objectType="CheckBox" fmlaLink="$N$25" lockText="1" noThreeD="1"/>
</file>

<file path=xl/ctrlProps/ctrlProp5.xml><?xml version="1.0" encoding="utf-8"?>
<formControlPr xmlns="http://schemas.microsoft.com/office/spreadsheetml/2009/9/main" objectType="CheckBox" fmlaLink="$O$25" lockText="1" noThreeD="1"/>
</file>

<file path=xl/ctrlProps/ctrlProp6.xml><?xml version="1.0" encoding="utf-8"?>
<formControlPr xmlns="http://schemas.microsoft.com/office/spreadsheetml/2009/9/main" objectType="CheckBox" fmlaLink="$P$25"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O$9" lockText="1" noThreeD="1"/>
</file>

<file path=xl/ctrlProps/ctrlProp9.xml><?xml version="1.0" encoding="utf-8"?>
<formControlPr xmlns="http://schemas.microsoft.com/office/spreadsheetml/2009/9/main" objectType="CheckBox" fmlaLink="$O$10" lockText="1" noThreeD="1"/>
</file>

<file path=xl/ctrlProps/ctrlProp10.xml><?xml version="1.0" encoding="utf-8"?>
<formControlPr xmlns="http://schemas.microsoft.com/office/spreadsheetml/2009/9/main" objectType="CheckBox" fmlaLink="$O$11" lockText="1" noThreeD="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CheckBox" fmlaLink="$O$13" lockText="1" noThreeD="1"/>
</file>

<file path=xl/ctrlProps/ctrlProp13.xml><?xml version="1.0" encoding="utf-8"?>
<formControlPr xmlns="http://schemas.microsoft.com/office/spreadsheetml/2009/9/main" objectType="CheckBox" fmlaLink="$O$14" lockText="1" noThreeD="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50800</xdr:colOff>
      <xdr:row>23</xdr:row>
      <xdr:rowOff>63500</xdr:rowOff>
    </xdr:from>
    <xdr:to>
      <xdr:col>5</xdr:col>
      <xdr:colOff>184728</xdr:colOff>
      <xdr:row>24</xdr:row>
      <xdr:rowOff>31750</xdr:rowOff>
    </xdr:to>
    <xdr:sp macro="" textlink="">
      <xdr:nvSpPr>
        <xdr:cNvPr id="20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419100</xdr:colOff>
      <xdr:row>23</xdr:row>
      <xdr:rowOff>63500</xdr:rowOff>
    </xdr:from>
    <xdr:to>
      <xdr:col>5</xdr:col>
      <xdr:colOff>1416050</xdr:colOff>
      <xdr:row>24</xdr:row>
      <xdr:rowOff>31750</xdr:rowOff>
    </xdr:to>
    <xdr:sp macro="" textlink="">
      <xdr:nvSpPr>
        <xdr:cNvPr id="2058" name="CheckBox1" hidden="1">
          <a:extLst>
            <a:ext uri="{63B3BB69-23CF-44E3-9099-C40C66FF867C}">
              <a14:compatExt xmlns:a14="http://schemas.microsoft.com/office/drawing/2010/main"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50800</xdr:colOff>
      <xdr:row>23</xdr:row>
      <xdr:rowOff>279400</xdr:rowOff>
    </xdr:from>
    <xdr:to>
      <xdr:col>5</xdr:col>
      <xdr:colOff>184728</xdr:colOff>
      <xdr:row>24</xdr:row>
      <xdr:rowOff>241300</xdr:rowOff>
    </xdr:to>
    <xdr:sp macro="" textlink="">
      <xdr:nvSpPr>
        <xdr:cNvPr id="205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419100</xdr:colOff>
      <xdr:row>23</xdr:row>
      <xdr:rowOff>279400</xdr:rowOff>
    </xdr:from>
    <xdr:to>
      <xdr:col>5</xdr:col>
      <xdr:colOff>1352550</xdr:colOff>
      <xdr:row>24</xdr:row>
      <xdr:rowOff>241300</xdr:rowOff>
    </xdr:to>
    <xdr:sp macro="" textlink="">
      <xdr:nvSpPr>
        <xdr:cNvPr id="2060" name="CheckBox3" hidden="1">
          <a:extLst>
            <a:ext uri="{63B3BB69-23CF-44E3-9099-C40C66FF867C}">
              <a14:compatExt xmlns:a14="http://schemas.microsoft.com/office/drawing/2010/main"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0</xdr:colOff>
      <xdr:row>23</xdr:row>
      <xdr:rowOff>266700</xdr:rowOff>
    </xdr:from>
    <xdr:to>
      <xdr:col>8</xdr:col>
      <xdr:colOff>0</xdr:colOff>
      <xdr:row>24</xdr:row>
      <xdr:rowOff>234950</xdr:rowOff>
    </xdr:to>
    <xdr:sp macro="" textlink="">
      <xdr:nvSpPr>
        <xdr:cNvPr id="2061" name="CheckBox4" hidden="1">
          <a:extLst>
            <a:ext uri="{63B3BB69-23CF-44E3-9099-C40C66FF867C}">
              <a14:compatExt xmlns:a14="http://schemas.microsoft.com/office/drawing/2010/main"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4</xdr:col>
      <xdr:colOff>50800</xdr:colOff>
      <xdr:row>28</xdr:row>
      <xdr:rowOff>279400</xdr:rowOff>
    </xdr:from>
    <xdr:ext cx="796869" cy="241300"/>
    <xdr:sp macro="" textlink="">
      <xdr:nvSpPr>
        <xdr:cNvPr id="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000-00000D000000}"/>
            </a:ext>
          </a:extLst>
        </xdr:cNvPr>
        <xdr:cNvSpPr/>
      </xdr:nvSpPr>
      <xdr:spPr bwMode="auto">
        <a:xfrm>
          <a:off x="3228340" y="8158480"/>
          <a:ext cx="796869"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5</xdr:col>
      <xdr:colOff>419100</xdr:colOff>
      <xdr:row>28</xdr:row>
      <xdr:rowOff>279400</xdr:rowOff>
    </xdr:from>
    <xdr:ext cx="933450" cy="241300"/>
    <xdr:sp macro="" textlink="">
      <xdr:nvSpPr>
        <xdr:cNvPr id="14" name="CheckBox3" hidden="1">
          <a:extLst>
            <a:ext uri="{63B3BB69-23CF-44E3-9099-C40C66FF867C}">
              <a14:compatExt xmlns:a14="http://schemas.microsoft.com/office/drawing/2010/main" spid="_x0000_s2060"/>
            </a:ext>
            <a:ext uri="{FF2B5EF4-FFF2-40B4-BE49-F238E27FC236}">
              <a16:creationId xmlns:a16="http://schemas.microsoft.com/office/drawing/2014/main" id="{00000000-0008-0000-0000-00000E000000}"/>
            </a:ext>
          </a:extLst>
        </xdr:cNvPr>
        <xdr:cNvSpPr/>
      </xdr:nvSpPr>
      <xdr:spPr bwMode="auto">
        <a:xfrm>
          <a:off x="4259580" y="8158480"/>
          <a:ext cx="93345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4</xdr:col>
      <xdr:colOff>50800</xdr:colOff>
      <xdr:row>30</xdr:row>
      <xdr:rowOff>279400</xdr:rowOff>
    </xdr:from>
    <xdr:ext cx="796869" cy="241300"/>
    <xdr:sp macro="" textlink="">
      <xdr:nvSpPr>
        <xdr:cNvPr id="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000-00000F000000}"/>
            </a:ext>
          </a:extLst>
        </xdr:cNvPr>
        <xdr:cNvSpPr/>
      </xdr:nvSpPr>
      <xdr:spPr bwMode="auto">
        <a:xfrm>
          <a:off x="3228340" y="10040620"/>
          <a:ext cx="796869"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5</xdr:col>
      <xdr:colOff>419100</xdr:colOff>
      <xdr:row>30</xdr:row>
      <xdr:rowOff>279400</xdr:rowOff>
    </xdr:from>
    <xdr:ext cx="933450" cy="241300"/>
    <xdr:sp macro="" textlink="">
      <xdr:nvSpPr>
        <xdr:cNvPr id="16" name="CheckBox3" hidden="1">
          <a:extLst>
            <a:ext uri="{63B3BB69-23CF-44E3-9099-C40C66FF867C}">
              <a14:compatExt xmlns:a14="http://schemas.microsoft.com/office/drawing/2010/main" spid="_x0000_s2060"/>
            </a:ext>
            <a:ext uri="{FF2B5EF4-FFF2-40B4-BE49-F238E27FC236}">
              <a16:creationId xmlns:a16="http://schemas.microsoft.com/office/drawing/2014/main" id="{00000000-0008-0000-0000-000010000000}"/>
            </a:ext>
          </a:extLst>
        </xdr:cNvPr>
        <xdr:cNvSpPr/>
      </xdr:nvSpPr>
      <xdr:spPr bwMode="auto">
        <a:xfrm>
          <a:off x="4259580" y="10040620"/>
          <a:ext cx="93345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xdr:from>
          <xdr:col>3</xdr:col>
          <xdr:colOff>6350</xdr:colOff>
          <xdr:row>37</xdr:row>
          <xdr:rowOff>0</xdr:rowOff>
        </xdr:from>
        <xdr:to>
          <xdr:col>5</xdr:col>
          <xdr:colOff>615950</xdr:colOff>
          <xdr:row>37</xdr:row>
          <xdr:rowOff>495300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D" sz="1200" b="0" i="0" u="none" strike="noStrike" baseline="0">
                  <a:solidFill>
                    <a:srgbClr val="000000"/>
                  </a:solidFill>
                  <a:latin typeface="Calibri"/>
                  <a:cs typeface="Calibri"/>
                </a:rPr>
                <a:t>Lanjut ke Asesmen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23</xdr:row>
          <xdr:rowOff>38100</xdr:rowOff>
        </xdr:from>
        <xdr:to>
          <xdr:col>5</xdr:col>
          <xdr:colOff>177800</xdr:colOff>
          <xdr:row>23</xdr:row>
          <xdr:rowOff>260350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D" sz="800" b="0" i="0" u="none" strike="noStrike" baseline="0">
                  <a:solidFill>
                    <a:srgbClr val="000000"/>
                  </a:solidFill>
                  <a:latin typeface="Segoe UI"/>
                  <a:cs typeface="Segoe UI"/>
                </a:rPr>
                <a:t>In-house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374650</xdr:colOff>
          <xdr:row>23</xdr:row>
          <xdr:rowOff>38100</xdr:rowOff>
        </xdr:from>
        <xdr:to>
          <xdr:col>5</xdr:col>
          <xdr:colOff>1149350</xdr:colOff>
          <xdr:row>23</xdr:row>
          <xdr:rowOff>260350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D" sz="800" b="0" i="0" u="none" strike="noStrike" baseline="0">
                  <a:solidFill>
                    <a:srgbClr val="000000"/>
                  </a:solidFill>
                  <a:latin typeface="Segoe UI"/>
                  <a:cs typeface="Segoe UI"/>
                </a:rPr>
                <a:t>Third Party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24</xdr:row>
          <xdr:rowOff>6350</xdr:rowOff>
        </xdr:from>
        <xdr:to>
          <xdr:col>5</xdr:col>
          <xdr:colOff>152400</xdr:colOff>
          <xdr:row>24</xdr:row>
          <xdr:rowOff>228600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D" sz="800" b="0" i="0" u="none" strike="noStrike" baseline="0">
                  <a:solidFill>
                    <a:srgbClr val="000000"/>
                  </a:solidFill>
                  <a:latin typeface="Segoe UI"/>
                  <a:cs typeface="Segoe UI"/>
                </a:rPr>
                <a:t>Indonesia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24</xdr:row>
          <xdr:rowOff>6350</xdr:rowOff>
        </xdr:from>
        <xdr:to>
          <xdr:col>5</xdr:col>
          <xdr:colOff>1174750</xdr:colOff>
          <xdr:row>24</xdr:row>
          <xdr:rowOff>228600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D" sz="800" b="0" i="0" u="none" strike="noStrike" baseline="0">
                  <a:solidFill>
                    <a:srgbClr val="000000"/>
                  </a:solidFill>
                  <a:latin typeface="Segoe UI"/>
                  <a:cs typeface="Segoe UI"/>
                </a:rPr>
                <a:t>Luar Negeri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1377950</xdr:colOff>
          <xdr:row>24</xdr:row>
          <xdr:rowOff>6350</xdr:rowOff>
        </xdr:from>
        <xdr:to>
          <xdr:col>5</xdr:col>
          <xdr:colOff>2171700</xdr:colOff>
          <xdr:row>24</xdr:row>
          <xdr:rowOff>228600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ID" sz="800" b="0" i="0" u="none" strike="noStrike" baseline="0">
                  <a:solidFill>
                    <a:srgbClr val="000000"/>
                  </a:solidFill>
                  <a:latin typeface="Segoe UI"/>
                  <a:cs typeface="Segoe UI"/>
                </a:rPr>
                <a:t>Cloud</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1555750</xdr:colOff>
          <xdr:row>53</xdr:row>
          <xdr:rowOff>6350</xdr:rowOff>
        </xdr:from>
        <xdr:to>
          <xdr:col>3</xdr:col>
          <xdr:colOff>2895600</xdr:colOff>
          <xdr:row>54</xdr:row>
          <xdr:rowOff>425450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D" sz="1200" b="0" i="0" u="none" strike="noStrike" baseline="0">
                  <a:solidFill>
                    <a:srgbClr val="000000"/>
                  </a:solidFill>
                  <a:latin typeface="Calibri"/>
                  <a:cs typeface="Calibri"/>
                </a:rPr>
                <a:t>Lihat Hasil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xdr:row>
          <xdr:rowOff>0</xdr:rowOff>
        </xdr:from>
        <xdr:to>
          <xdr:col>6</xdr:col>
          <xdr:colOff>488950</xdr:colOff>
          <xdr:row>8</xdr:row>
          <xdr:rowOff>285750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9</xdr:row>
          <xdr:rowOff>19050</xdr:rowOff>
        </xdr:from>
        <xdr:to>
          <xdr:col>6</xdr:col>
          <xdr:colOff>482600</xdr:colOff>
          <xdr:row>9</xdr:row>
          <xdr:rowOff>311150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3</xdr:col>
      <xdr:colOff>10116</xdr:colOff>
      <xdr:row>8</xdr:row>
      <xdr:rowOff>41893</xdr:rowOff>
    </xdr:from>
    <xdr:ext cx="1152880" cy="280205"/>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16049" y="1997693"/>
          <a:ext cx="115288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a:t>a.   Persetujuan</a:t>
          </a:r>
        </a:p>
      </xdr:txBody>
    </xdr:sp>
    <xdr:clientData/>
  </xdr:oneCellAnchor>
  <xdr:oneCellAnchor>
    <xdr:from>
      <xdr:col>3</xdr:col>
      <xdr:colOff>11874</xdr:colOff>
      <xdr:row>9</xdr:row>
      <xdr:rowOff>20453</xdr:rowOff>
    </xdr:from>
    <xdr:ext cx="1719381" cy="280205"/>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17807" y="2297986"/>
          <a:ext cx="171938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a:t>b.   Kewajiban Perjanjian</a:t>
          </a:r>
        </a:p>
      </xdr:txBody>
    </xdr:sp>
    <xdr:clientData/>
  </xdr:oneCellAnchor>
  <xdr:oneCellAnchor>
    <xdr:from>
      <xdr:col>3</xdr:col>
      <xdr:colOff>26941</xdr:colOff>
      <xdr:row>10</xdr:row>
      <xdr:rowOff>15724</xdr:rowOff>
    </xdr:from>
    <xdr:ext cx="4371005" cy="280205"/>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932874" y="2614991"/>
          <a:ext cx="437100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a:t>c.   Kewajiban hukum berdasarkan peraturan</a:t>
          </a:r>
          <a:r>
            <a:rPr lang="en-ID" sz="1200" baseline="0"/>
            <a:t> perundang-undangan</a:t>
          </a:r>
          <a:endParaRPr lang="en-ID" sz="1200"/>
        </a:p>
      </xdr:txBody>
    </xdr:sp>
    <xdr:clientData/>
  </xdr:oneCellAnchor>
  <xdr:oneCellAnchor>
    <xdr:from>
      <xdr:col>3</xdr:col>
      <xdr:colOff>13524</xdr:colOff>
      <xdr:row>11</xdr:row>
      <xdr:rowOff>2966</xdr:rowOff>
    </xdr:from>
    <xdr:ext cx="3530903" cy="280205"/>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19457" y="2923966"/>
          <a:ext cx="353090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a:t>d.   Pelindungan kepentingan vital subjek data pribadi</a:t>
          </a:r>
        </a:p>
      </xdr:txBody>
    </xdr:sp>
    <xdr:clientData/>
  </xdr:oneCellAnchor>
  <xdr:oneCellAnchor>
    <xdr:from>
      <xdr:col>3</xdr:col>
      <xdr:colOff>28368</xdr:colOff>
      <xdr:row>12</xdr:row>
      <xdr:rowOff>24081</xdr:rowOff>
    </xdr:from>
    <xdr:ext cx="4255766" cy="7016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34301" y="3266814"/>
          <a:ext cx="4255766" cy="7016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ID" sz="1200"/>
            <a:t>e.   Pelaksanaan tugas dalam rangka kepentingan umum, </a:t>
          </a:r>
          <a:br>
            <a:rPr lang="en-ID" sz="1200"/>
          </a:br>
          <a:r>
            <a:rPr lang="en-ID" sz="1200"/>
            <a:t>      pelayanan publik atau pelaksanaan kewenangan</a:t>
          </a:r>
          <a:r>
            <a:rPr lang="en-ID" sz="1200" baseline="0"/>
            <a:t> berdasarkan </a:t>
          </a:r>
          <a:br>
            <a:rPr lang="en-ID" sz="1200" baseline="0"/>
          </a:br>
          <a:r>
            <a:rPr lang="en-ID" sz="1200" baseline="0"/>
            <a:t>      peraturan perundang-undangan</a:t>
          </a:r>
          <a:endParaRPr lang="en-ID" sz="1200"/>
        </a:p>
      </xdr:txBody>
    </xdr:sp>
    <xdr:clientData/>
  </xdr:oneCellAnchor>
  <xdr:oneCellAnchor>
    <xdr:from>
      <xdr:col>3</xdr:col>
      <xdr:colOff>46511</xdr:colOff>
      <xdr:row>12</xdr:row>
      <xdr:rowOff>701412</xdr:rowOff>
    </xdr:from>
    <xdr:ext cx="2675925" cy="280205"/>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952444" y="3944145"/>
          <a:ext cx="26759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a:t>f.   Pemenuhan kepentingan</a:t>
          </a:r>
          <a:r>
            <a:rPr lang="en-ID" sz="1200" baseline="0"/>
            <a:t> sah lainnya</a:t>
          </a:r>
          <a:endParaRPr lang="en-ID" sz="1200"/>
        </a:p>
      </xdr:txBody>
    </xdr:sp>
    <xdr:clientData/>
  </xdr:oneCellAnchor>
  <mc:AlternateContent xmlns:mc="http://schemas.openxmlformats.org/markup-compatibility/2006">
    <mc:Choice xmlns:a14="http://schemas.microsoft.com/office/drawing/2010/main" Requires="a14">
      <xdr:twoCellAnchor editAs="oneCell">
        <xdr:from>
          <xdr:col>6</xdr:col>
          <xdr:colOff>266700</xdr:colOff>
          <xdr:row>10</xdr:row>
          <xdr:rowOff>25400</xdr:rowOff>
        </xdr:from>
        <xdr:to>
          <xdr:col>6</xdr:col>
          <xdr:colOff>488950</xdr:colOff>
          <xdr:row>10</xdr:row>
          <xdr:rowOff>311150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11</xdr:row>
          <xdr:rowOff>25400</xdr:rowOff>
        </xdr:from>
        <xdr:to>
          <xdr:col>6</xdr:col>
          <xdr:colOff>482600</xdr:colOff>
          <xdr:row>12</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12</xdr:row>
          <xdr:rowOff>209550</xdr:rowOff>
        </xdr:from>
        <xdr:to>
          <xdr:col>6</xdr:col>
          <xdr:colOff>482600</xdr:colOff>
          <xdr:row>12</xdr:row>
          <xdr:rowOff>514350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13</xdr:row>
          <xdr:rowOff>6350</xdr:rowOff>
        </xdr:from>
        <xdr:to>
          <xdr:col>6</xdr:col>
          <xdr:colOff>482600</xdr:colOff>
          <xdr:row>13</xdr:row>
          <xdr:rowOff>311150</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10</xdr:col>
      <xdr:colOff>374650</xdr:colOff>
      <xdr:row>19</xdr:row>
      <xdr:rowOff>50799</xdr:rowOff>
    </xdr:to>
    <xdr:sp macro="" textlink="">
      <xdr:nvSpPr>
        <xdr:cNvPr id="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200-000002000000}"/>
            </a:ext>
          </a:extLst>
        </xdr:cNvPr>
        <xdr:cNvSpPr/>
      </xdr:nvSpPr>
      <xdr:spPr bwMode="auto">
        <a:xfrm>
          <a:off x="4022725" y="38862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18</xdr:row>
      <xdr:rowOff>0</xdr:rowOff>
    </xdr:from>
    <xdr:to>
      <xdr:col>11</xdr:col>
      <xdr:colOff>6350</xdr:colOff>
      <xdr:row>19</xdr:row>
      <xdr:rowOff>50799</xdr:rowOff>
    </xdr:to>
    <xdr:sp macro="" textlink="">
      <xdr:nvSpPr>
        <xdr:cNvPr id="3" name="CheckBox1" hidden="1">
          <a:extLst>
            <a:ext uri="{63B3BB69-23CF-44E3-9099-C40C66FF867C}">
              <a14:compatExt xmlns:a14="http://schemas.microsoft.com/office/drawing/2010/main" spid="_x0000_s2058"/>
            </a:ext>
            <a:ext uri="{FF2B5EF4-FFF2-40B4-BE49-F238E27FC236}">
              <a16:creationId xmlns:a16="http://schemas.microsoft.com/office/drawing/2014/main" id="{00000000-0008-0000-0200-000003000000}"/>
            </a:ext>
          </a:extLst>
        </xdr:cNvPr>
        <xdr:cNvSpPr/>
      </xdr:nvSpPr>
      <xdr:spPr bwMode="auto">
        <a:xfrm>
          <a:off x="5286375" y="3886200"/>
          <a:ext cx="987425"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18</xdr:row>
      <xdr:rowOff>0</xdr:rowOff>
    </xdr:from>
    <xdr:to>
      <xdr:col>10</xdr:col>
      <xdr:colOff>374650</xdr:colOff>
      <xdr:row>19</xdr:row>
      <xdr:rowOff>50799</xdr:rowOff>
    </xdr:to>
    <xdr:sp macro="" textlink="">
      <xdr:nvSpPr>
        <xdr:cNvPr id="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200-000004000000}"/>
            </a:ext>
          </a:extLst>
        </xdr:cNvPr>
        <xdr:cNvSpPr/>
      </xdr:nvSpPr>
      <xdr:spPr bwMode="auto">
        <a:xfrm>
          <a:off x="4022725" y="38862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18</xdr:row>
      <xdr:rowOff>0</xdr:rowOff>
    </xdr:from>
    <xdr:to>
      <xdr:col>10</xdr:col>
      <xdr:colOff>523875</xdr:colOff>
      <xdr:row>19</xdr:row>
      <xdr:rowOff>50799</xdr:rowOff>
    </xdr:to>
    <xdr:sp macro="" textlink="">
      <xdr:nvSpPr>
        <xdr:cNvPr id="5" name="CheckBox3" hidden="1">
          <a:extLst>
            <a:ext uri="{63B3BB69-23CF-44E3-9099-C40C66FF867C}">
              <a14:compatExt xmlns:a14="http://schemas.microsoft.com/office/drawing/2010/main" spid="_x0000_s2060"/>
            </a:ext>
            <a:ext uri="{FF2B5EF4-FFF2-40B4-BE49-F238E27FC236}">
              <a16:creationId xmlns:a16="http://schemas.microsoft.com/office/drawing/2014/main" id="{00000000-0008-0000-0200-000005000000}"/>
            </a:ext>
          </a:extLst>
        </xdr:cNvPr>
        <xdr:cNvSpPr/>
      </xdr:nvSpPr>
      <xdr:spPr bwMode="auto">
        <a:xfrm>
          <a:off x="5286375" y="3886200"/>
          <a:ext cx="923925"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18</xdr:row>
      <xdr:rowOff>0</xdr:rowOff>
    </xdr:from>
    <xdr:to>
      <xdr:col>10</xdr:col>
      <xdr:colOff>387350</xdr:colOff>
      <xdr:row>19</xdr:row>
      <xdr:rowOff>50799</xdr:rowOff>
    </xdr:to>
    <xdr:sp macro="" textlink="">
      <xdr:nvSpPr>
        <xdr:cNvPr id="6" name="CheckBox4" hidden="1">
          <a:extLst>
            <a:ext uri="{63B3BB69-23CF-44E3-9099-C40C66FF867C}">
              <a14:compatExt xmlns:a14="http://schemas.microsoft.com/office/drawing/2010/main" spid="_x0000_s2061"/>
            </a:ext>
            <a:ext uri="{FF2B5EF4-FFF2-40B4-BE49-F238E27FC236}">
              <a16:creationId xmlns:a16="http://schemas.microsoft.com/office/drawing/2014/main" id="{00000000-0008-0000-0200-000006000000}"/>
            </a:ext>
          </a:extLst>
        </xdr:cNvPr>
        <xdr:cNvSpPr/>
      </xdr:nvSpPr>
      <xdr:spPr bwMode="auto">
        <a:xfrm>
          <a:off x="5286375" y="3886200"/>
          <a:ext cx="7874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50800</xdr:colOff>
      <xdr:row>15</xdr:row>
      <xdr:rowOff>63500</xdr:rowOff>
    </xdr:from>
    <xdr:to>
      <xdr:col>6</xdr:col>
      <xdr:colOff>825500</xdr:colOff>
      <xdr:row>15</xdr:row>
      <xdr:rowOff>303656</xdr:rowOff>
    </xdr:to>
    <xdr:sp macro="" textlink="">
      <xdr:nvSpPr>
        <xdr:cNvPr id="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2000000}"/>
            </a:ext>
          </a:extLst>
        </xdr:cNvPr>
        <xdr:cNvSpPr/>
      </xdr:nvSpPr>
      <xdr:spPr bwMode="auto">
        <a:xfrm>
          <a:off x="4965700" y="823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0</xdr:colOff>
      <xdr:row>15</xdr:row>
      <xdr:rowOff>63500</xdr:rowOff>
    </xdr:from>
    <xdr:to>
      <xdr:col>9</xdr:col>
      <xdr:colOff>0</xdr:colOff>
      <xdr:row>15</xdr:row>
      <xdr:rowOff>303656</xdr:rowOff>
    </xdr:to>
    <xdr:sp macro="" textlink="">
      <xdr:nvSpPr>
        <xdr:cNvPr id="3" name="CheckBox1" hidden="1">
          <a:extLst>
            <a:ext uri="{63B3BB69-23CF-44E3-9099-C40C66FF867C}">
              <a14:compatExt xmlns:a14="http://schemas.microsoft.com/office/drawing/2010/main" spid="_x0000_s2058"/>
            </a:ext>
            <a:ext uri="{FF2B5EF4-FFF2-40B4-BE49-F238E27FC236}">
              <a16:creationId xmlns:a16="http://schemas.microsoft.com/office/drawing/2014/main" id="{00000000-0008-0000-0300-000003000000}"/>
            </a:ext>
          </a:extLst>
        </xdr:cNvPr>
        <xdr:cNvSpPr/>
      </xdr:nvSpPr>
      <xdr:spPr bwMode="auto">
        <a:xfrm>
          <a:off x="6229350" y="8239125"/>
          <a:ext cx="987425"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50800</xdr:colOff>
      <xdr:row>15</xdr:row>
      <xdr:rowOff>279400</xdr:rowOff>
    </xdr:from>
    <xdr:to>
      <xdr:col>6</xdr:col>
      <xdr:colOff>825500</xdr:colOff>
      <xdr:row>15</xdr:row>
      <xdr:rowOff>519556</xdr:rowOff>
    </xdr:to>
    <xdr:sp macro="" textlink="">
      <xdr:nvSpPr>
        <xdr:cNvPr id="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4000000}"/>
            </a:ext>
          </a:extLst>
        </xdr:cNvPr>
        <xdr:cNvSpPr/>
      </xdr:nvSpPr>
      <xdr:spPr bwMode="auto">
        <a:xfrm>
          <a:off x="4965700" y="823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0</xdr:colOff>
      <xdr:row>15</xdr:row>
      <xdr:rowOff>279400</xdr:rowOff>
    </xdr:from>
    <xdr:to>
      <xdr:col>9</xdr:col>
      <xdr:colOff>0</xdr:colOff>
      <xdr:row>15</xdr:row>
      <xdr:rowOff>519556</xdr:rowOff>
    </xdr:to>
    <xdr:sp macro="" textlink="">
      <xdr:nvSpPr>
        <xdr:cNvPr id="5" name="CheckBox3" hidden="1">
          <a:extLst>
            <a:ext uri="{63B3BB69-23CF-44E3-9099-C40C66FF867C}">
              <a14:compatExt xmlns:a14="http://schemas.microsoft.com/office/drawing/2010/main" spid="_x0000_s2060"/>
            </a:ext>
            <a:ext uri="{FF2B5EF4-FFF2-40B4-BE49-F238E27FC236}">
              <a16:creationId xmlns:a16="http://schemas.microsoft.com/office/drawing/2014/main" id="{00000000-0008-0000-0300-000005000000}"/>
            </a:ext>
          </a:extLst>
        </xdr:cNvPr>
        <xdr:cNvSpPr/>
      </xdr:nvSpPr>
      <xdr:spPr bwMode="auto">
        <a:xfrm>
          <a:off x="6229350" y="8239125"/>
          <a:ext cx="923925"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0</xdr:colOff>
      <xdr:row>15</xdr:row>
      <xdr:rowOff>266700</xdr:rowOff>
    </xdr:from>
    <xdr:to>
      <xdr:col>9</xdr:col>
      <xdr:colOff>0</xdr:colOff>
      <xdr:row>15</xdr:row>
      <xdr:rowOff>506856</xdr:rowOff>
    </xdr:to>
    <xdr:sp macro="" textlink="">
      <xdr:nvSpPr>
        <xdr:cNvPr id="6" name="CheckBox4" hidden="1">
          <a:extLst>
            <a:ext uri="{63B3BB69-23CF-44E3-9099-C40C66FF867C}">
              <a14:compatExt xmlns:a14="http://schemas.microsoft.com/office/drawing/2010/main" spid="_x0000_s2061"/>
            </a:ext>
            <a:ext uri="{FF2B5EF4-FFF2-40B4-BE49-F238E27FC236}">
              <a16:creationId xmlns:a16="http://schemas.microsoft.com/office/drawing/2014/main" id="{00000000-0008-0000-0300-000006000000}"/>
            </a:ext>
          </a:extLst>
        </xdr:cNvPr>
        <xdr:cNvSpPr/>
      </xdr:nvSpPr>
      <xdr:spPr bwMode="auto">
        <a:xfrm>
          <a:off x="6229350" y="8239125"/>
          <a:ext cx="7874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6</xdr:col>
      <xdr:colOff>50800</xdr:colOff>
      <xdr:row>19</xdr:row>
      <xdr:rowOff>0</xdr:rowOff>
    </xdr:from>
    <xdr:ext cx="774700" cy="241300"/>
    <xdr:sp macro="" textlink="">
      <xdr:nvSpPr>
        <xdr:cNvPr id="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7000000}"/>
            </a:ext>
          </a:extLst>
        </xdr:cNvPr>
        <xdr:cNvSpPr/>
      </xdr:nvSpPr>
      <xdr:spPr bwMode="auto">
        <a:xfrm>
          <a:off x="4965700" y="8683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19</xdr:row>
      <xdr:rowOff>0</xdr:rowOff>
    </xdr:from>
    <xdr:ext cx="774700" cy="241300"/>
    <xdr:sp macro="" textlink="">
      <xdr:nvSpPr>
        <xdr:cNvPr id="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8000000}"/>
            </a:ext>
          </a:extLst>
        </xdr:cNvPr>
        <xdr:cNvSpPr/>
      </xdr:nvSpPr>
      <xdr:spPr bwMode="auto">
        <a:xfrm>
          <a:off x="4965700" y="88995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19</xdr:row>
      <xdr:rowOff>63500</xdr:rowOff>
    </xdr:from>
    <xdr:ext cx="774700" cy="241300"/>
    <xdr:sp macro="" textlink="">
      <xdr:nvSpPr>
        <xdr:cNvPr id="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9000000}"/>
            </a:ext>
          </a:extLst>
        </xdr:cNvPr>
        <xdr:cNvSpPr/>
      </xdr:nvSpPr>
      <xdr:spPr bwMode="auto">
        <a:xfrm>
          <a:off x="4965700" y="916305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19</xdr:row>
      <xdr:rowOff>279400</xdr:rowOff>
    </xdr:from>
    <xdr:ext cx="774700" cy="241300"/>
    <xdr:sp macro="" textlink="">
      <xdr:nvSpPr>
        <xdr:cNvPr id="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A000000}"/>
            </a:ext>
          </a:extLst>
        </xdr:cNvPr>
        <xdr:cNvSpPr/>
      </xdr:nvSpPr>
      <xdr:spPr bwMode="auto">
        <a:xfrm>
          <a:off x="4965700" y="916305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B000000}"/>
            </a:ext>
          </a:extLst>
        </xdr:cNvPr>
        <xdr:cNvSpPr/>
      </xdr:nvSpPr>
      <xdr:spPr bwMode="auto">
        <a:xfrm>
          <a:off x="4965700" y="922655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C000000}"/>
            </a:ext>
          </a:extLst>
        </xdr:cNvPr>
        <xdr:cNvSpPr/>
      </xdr:nvSpPr>
      <xdr:spPr bwMode="auto">
        <a:xfrm>
          <a:off x="4965700" y="944245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D000000}"/>
            </a:ext>
          </a:extLst>
        </xdr:cNvPr>
        <xdr:cNvSpPr/>
      </xdr:nvSpPr>
      <xdr:spPr bwMode="auto">
        <a:xfrm>
          <a:off x="4965700" y="1123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E000000}"/>
            </a:ext>
          </a:extLst>
        </xdr:cNvPr>
        <xdr:cNvSpPr/>
      </xdr:nvSpPr>
      <xdr:spPr bwMode="auto">
        <a:xfrm>
          <a:off x="4965700" y="1123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F000000}"/>
            </a:ext>
          </a:extLst>
        </xdr:cNvPr>
        <xdr:cNvSpPr/>
      </xdr:nvSpPr>
      <xdr:spPr bwMode="auto">
        <a:xfrm>
          <a:off x="4965700" y="944245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0000000}"/>
            </a:ext>
          </a:extLst>
        </xdr:cNvPr>
        <xdr:cNvSpPr/>
      </xdr:nvSpPr>
      <xdr:spPr bwMode="auto">
        <a:xfrm>
          <a:off x="4965700" y="1123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1000000}"/>
            </a:ext>
          </a:extLst>
        </xdr:cNvPr>
        <xdr:cNvSpPr/>
      </xdr:nvSpPr>
      <xdr:spPr bwMode="auto">
        <a:xfrm>
          <a:off x="4965700" y="1123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21</xdr:row>
      <xdr:rowOff>0</xdr:rowOff>
    </xdr:from>
    <xdr:ext cx="774700" cy="241300"/>
    <xdr:sp macro="" textlink="">
      <xdr:nvSpPr>
        <xdr:cNvPr id="1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2000000}"/>
            </a:ext>
          </a:extLst>
        </xdr:cNvPr>
        <xdr:cNvSpPr/>
      </xdr:nvSpPr>
      <xdr:spPr bwMode="auto">
        <a:xfrm>
          <a:off x="4965700" y="1123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24</xdr:row>
      <xdr:rowOff>0</xdr:rowOff>
    </xdr:from>
    <xdr:ext cx="774700" cy="241300"/>
    <xdr:sp macro="" textlink="">
      <xdr:nvSpPr>
        <xdr:cNvPr id="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3000000}"/>
            </a:ext>
          </a:extLst>
        </xdr:cNvPr>
        <xdr:cNvSpPr/>
      </xdr:nvSpPr>
      <xdr:spPr bwMode="auto">
        <a:xfrm>
          <a:off x="4965700" y="11620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24</xdr:row>
      <xdr:rowOff>0</xdr:rowOff>
    </xdr:from>
    <xdr:ext cx="774700" cy="241300"/>
    <xdr:sp macro="" textlink="">
      <xdr:nvSpPr>
        <xdr:cNvPr id="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4000000}"/>
            </a:ext>
          </a:extLst>
        </xdr:cNvPr>
        <xdr:cNvSpPr/>
      </xdr:nvSpPr>
      <xdr:spPr bwMode="auto">
        <a:xfrm>
          <a:off x="4965700" y="11620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24</xdr:row>
      <xdr:rowOff>0</xdr:rowOff>
    </xdr:from>
    <xdr:ext cx="774700" cy="241300"/>
    <xdr:sp macro="" textlink="">
      <xdr:nvSpPr>
        <xdr:cNvPr id="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5000000}"/>
            </a:ext>
          </a:extLst>
        </xdr:cNvPr>
        <xdr:cNvSpPr/>
      </xdr:nvSpPr>
      <xdr:spPr bwMode="auto">
        <a:xfrm>
          <a:off x="4965700" y="11620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24</xdr:row>
      <xdr:rowOff>0</xdr:rowOff>
    </xdr:from>
    <xdr:ext cx="774700" cy="241300"/>
    <xdr:sp macro="" textlink="">
      <xdr:nvSpPr>
        <xdr:cNvPr id="2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6000000}"/>
            </a:ext>
          </a:extLst>
        </xdr:cNvPr>
        <xdr:cNvSpPr/>
      </xdr:nvSpPr>
      <xdr:spPr bwMode="auto">
        <a:xfrm>
          <a:off x="4965700" y="11620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24</xdr:row>
      <xdr:rowOff>63500</xdr:rowOff>
    </xdr:from>
    <xdr:ext cx="774700" cy="241300"/>
    <xdr:sp macro="" textlink="">
      <xdr:nvSpPr>
        <xdr:cNvPr id="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7000000}"/>
            </a:ext>
          </a:extLst>
        </xdr:cNvPr>
        <xdr:cNvSpPr/>
      </xdr:nvSpPr>
      <xdr:spPr bwMode="auto">
        <a:xfrm>
          <a:off x="4965700" y="11620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28</xdr:row>
      <xdr:rowOff>0</xdr:rowOff>
    </xdr:from>
    <xdr:ext cx="774700" cy="241300"/>
    <xdr:sp macro="" textlink="">
      <xdr:nvSpPr>
        <xdr:cNvPr id="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8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28</xdr:row>
      <xdr:rowOff>0</xdr:rowOff>
    </xdr:from>
    <xdr:ext cx="774700" cy="241300"/>
    <xdr:sp macro="" textlink="">
      <xdr:nvSpPr>
        <xdr:cNvPr id="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9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28</xdr:row>
      <xdr:rowOff>0</xdr:rowOff>
    </xdr:from>
    <xdr:ext cx="774700" cy="241300"/>
    <xdr:sp macro="" textlink="">
      <xdr:nvSpPr>
        <xdr:cNvPr id="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A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28</xdr:row>
      <xdr:rowOff>0</xdr:rowOff>
    </xdr:from>
    <xdr:ext cx="774700" cy="241300"/>
    <xdr:sp macro="" textlink="">
      <xdr:nvSpPr>
        <xdr:cNvPr id="2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B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28</xdr:row>
      <xdr:rowOff>63500</xdr:rowOff>
    </xdr:from>
    <xdr:ext cx="774700" cy="241300"/>
    <xdr:sp macro="" textlink="">
      <xdr:nvSpPr>
        <xdr:cNvPr id="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C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30</xdr:row>
      <xdr:rowOff>0</xdr:rowOff>
    </xdr:from>
    <xdr:ext cx="774700" cy="241300"/>
    <xdr:sp macro="" textlink="">
      <xdr:nvSpPr>
        <xdr:cNvPr id="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D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30</xdr:row>
      <xdr:rowOff>0</xdr:rowOff>
    </xdr:from>
    <xdr:ext cx="774700" cy="241300"/>
    <xdr:sp macro="" textlink="">
      <xdr:nvSpPr>
        <xdr:cNvPr id="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E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30</xdr:row>
      <xdr:rowOff>0</xdr:rowOff>
    </xdr:from>
    <xdr:ext cx="774700" cy="241300"/>
    <xdr:sp macro="" textlink="">
      <xdr:nvSpPr>
        <xdr:cNvPr id="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F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30</xdr:row>
      <xdr:rowOff>0</xdr:rowOff>
    </xdr:from>
    <xdr:ext cx="774700" cy="241300"/>
    <xdr:sp macro="" textlink="">
      <xdr:nvSpPr>
        <xdr:cNvPr id="3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0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30</xdr:row>
      <xdr:rowOff>63500</xdr:rowOff>
    </xdr:from>
    <xdr:ext cx="774700" cy="241300"/>
    <xdr:sp macro="" textlink="">
      <xdr:nvSpPr>
        <xdr:cNvPr id="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1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31</xdr:row>
      <xdr:rowOff>0</xdr:rowOff>
    </xdr:from>
    <xdr:ext cx="774700" cy="241300"/>
    <xdr:sp macro="" textlink="">
      <xdr:nvSpPr>
        <xdr:cNvPr id="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2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31</xdr:row>
      <xdr:rowOff>0</xdr:rowOff>
    </xdr:from>
    <xdr:ext cx="774700" cy="241300"/>
    <xdr:sp macro="" textlink="">
      <xdr:nvSpPr>
        <xdr:cNvPr id="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3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31</xdr:row>
      <xdr:rowOff>0</xdr:rowOff>
    </xdr:from>
    <xdr:ext cx="774700" cy="241300"/>
    <xdr:sp macro="" textlink="">
      <xdr:nvSpPr>
        <xdr:cNvPr id="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4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31</xdr:row>
      <xdr:rowOff>0</xdr:rowOff>
    </xdr:from>
    <xdr:ext cx="774700" cy="241300"/>
    <xdr:sp macro="" textlink="">
      <xdr:nvSpPr>
        <xdr:cNvPr id="3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5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31</xdr:row>
      <xdr:rowOff>63500</xdr:rowOff>
    </xdr:from>
    <xdr:ext cx="774700" cy="241300"/>
    <xdr:sp macro="" textlink="">
      <xdr:nvSpPr>
        <xdr:cNvPr id="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6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32</xdr:row>
      <xdr:rowOff>0</xdr:rowOff>
    </xdr:from>
    <xdr:ext cx="774700" cy="241300"/>
    <xdr:sp macro="" textlink="">
      <xdr:nvSpPr>
        <xdr:cNvPr id="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7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32</xdr:row>
      <xdr:rowOff>0</xdr:rowOff>
    </xdr:from>
    <xdr:ext cx="774700" cy="241300"/>
    <xdr:sp macro="" textlink="">
      <xdr:nvSpPr>
        <xdr:cNvPr id="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8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32</xdr:row>
      <xdr:rowOff>0</xdr:rowOff>
    </xdr:from>
    <xdr:ext cx="774700" cy="241300"/>
    <xdr:sp macro="" textlink="">
      <xdr:nvSpPr>
        <xdr:cNvPr id="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9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32</xdr:row>
      <xdr:rowOff>0</xdr:rowOff>
    </xdr:from>
    <xdr:ext cx="774700" cy="241300"/>
    <xdr:sp macro="" textlink="">
      <xdr:nvSpPr>
        <xdr:cNvPr id="4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A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32</xdr:row>
      <xdr:rowOff>63500</xdr:rowOff>
    </xdr:from>
    <xdr:ext cx="774700" cy="241300"/>
    <xdr:sp macro="" textlink="">
      <xdr:nvSpPr>
        <xdr:cNvPr id="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B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33</xdr:row>
      <xdr:rowOff>0</xdr:rowOff>
    </xdr:from>
    <xdr:ext cx="774700" cy="241300"/>
    <xdr:sp macro="" textlink="">
      <xdr:nvSpPr>
        <xdr:cNvPr id="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C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33</xdr:row>
      <xdr:rowOff>0</xdr:rowOff>
    </xdr:from>
    <xdr:ext cx="774700" cy="241300"/>
    <xdr:sp macro="" textlink="">
      <xdr:nvSpPr>
        <xdr:cNvPr id="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D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33</xdr:row>
      <xdr:rowOff>0</xdr:rowOff>
    </xdr:from>
    <xdr:ext cx="774700" cy="241300"/>
    <xdr:sp macro="" textlink="">
      <xdr:nvSpPr>
        <xdr:cNvPr id="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E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33</xdr:row>
      <xdr:rowOff>0</xdr:rowOff>
    </xdr:from>
    <xdr:ext cx="774700" cy="241300"/>
    <xdr:sp macro="" textlink="">
      <xdr:nvSpPr>
        <xdr:cNvPr id="4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F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33</xdr:row>
      <xdr:rowOff>63500</xdr:rowOff>
    </xdr:from>
    <xdr:ext cx="774700" cy="241300"/>
    <xdr:sp macro="" textlink="">
      <xdr:nvSpPr>
        <xdr:cNvPr id="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0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1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2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3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5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4000000}"/>
            </a:ext>
          </a:extLst>
        </xdr:cNvPr>
        <xdr:cNvSpPr/>
      </xdr:nvSpPr>
      <xdr:spPr bwMode="auto">
        <a:xfrm>
          <a:off x="4965700" y="12001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5000000}"/>
            </a:ext>
          </a:extLst>
        </xdr:cNvPr>
        <xdr:cNvSpPr/>
      </xdr:nvSpPr>
      <xdr:spPr bwMode="auto">
        <a:xfrm>
          <a:off x="4965700" y="1206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35</xdr:row>
      <xdr:rowOff>0</xdr:rowOff>
    </xdr:from>
    <xdr:ext cx="774700" cy="241300"/>
    <xdr:sp macro="" textlink="">
      <xdr:nvSpPr>
        <xdr:cNvPr id="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6000000}"/>
            </a:ext>
          </a:extLst>
        </xdr:cNvPr>
        <xdr:cNvSpPr/>
      </xdr:nvSpPr>
      <xdr:spPr bwMode="auto">
        <a:xfrm>
          <a:off x="4965700" y="12382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35</xdr:row>
      <xdr:rowOff>0</xdr:rowOff>
    </xdr:from>
    <xdr:ext cx="774700" cy="241300"/>
    <xdr:sp macro="" textlink="">
      <xdr:nvSpPr>
        <xdr:cNvPr id="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7000000}"/>
            </a:ext>
          </a:extLst>
        </xdr:cNvPr>
        <xdr:cNvSpPr/>
      </xdr:nvSpPr>
      <xdr:spPr bwMode="auto">
        <a:xfrm>
          <a:off x="4965700" y="12382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35</xdr:row>
      <xdr:rowOff>0</xdr:rowOff>
    </xdr:from>
    <xdr:ext cx="774700" cy="241300"/>
    <xdr:sp macro="" textlink="">
      <xdr:nvSpPr>
        <xdr:cNvPr id="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8000000}"/>
            </a:ext>
          </a:extLst>
        </xdr:cNvPr>
        <xdr:cNvSpPr/>
      </xdr:nvSpPr>
      <xdr:spPr bwMode="auto">
        <a:xfrm>
          <a:off x="4965700" y="12382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35</xdr:row>
      <xdr:rowOff>0</xdr:rowOff>
    </xdr:from>
    <xdr:ext cx="774700" cy="241300"/>
    <xdr:sp macro="" textlink="">
      <xdr:nvSpPr>
        <xdr:cNvPr id="5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9000000}"/>
            </a:ext>
          </a:extLst>
        </xdr:cNvPr>
        <xdr:cNvSpPr/>
      </xdr:nvSpPr>
      <xdr:spPr bwMode="auto">
        <a:xfrm>
          <a:off x="4965700" y="12382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35</xdr:row>
      <xdr:rowOff>63500</xdr:rowOff>
    </xdr:from>
    <xdr:ext cx="774700" cy="241300"/>
    <xdr:sp macro="" textlink="">
      <xdr:nvSpPr>
        <xdr:cNvPr id="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A000000}"/>
            </a:ext>
          </a:extLst>
        </xdr:cNvPr>
        <xdr:cNvSpPr/>
      </xdr:nvSpPr>
      <xdr:spPr bwMode="auto">
        <a:xfrm>
          <a:off x="4965700" y="1244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B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C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D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E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63500</xdr:rowOff>
    </xdr:from>
    <xdr:ext cx="774700" cy="241300"/>
    <xdr:sp macro="" textlink="">
      <xdr:nvSpPr>
        <xdr:cNvPr id="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F000000}"/>
            </a:ext>
          </a:extLst>
        </xdr:cNvPr>
        <xdr:cNvSpPr/>
      </xdr:nvSpPr>
      <xdr:spPr bwMode="auto">
        <a:xfrm>
          <a:off x="4965700" y="1263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0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1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2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0</xdr:rowOff>
    </xdr:from>
    <xdr:ext cx="774700" cy="241300"/>
    <xdr:sp macro="" textlink="">
      <xdr:nvSpPr>
        <xdr:cNvPr id="6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3000000}"/>
            </a:ext>
          </a:extLst>
        </xdr:cNvPr>
        <xdr:cNvSpPr/>
      </xdr:nvSpPr>
      <xdr:spPr bwMode="auto">
        <a:xfrm>
          <a:off x="4965700" y="12573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37</xdr:row>
      <xdr:rowOff>63500</xdr:rowOff>
    </xdr:from>
    <xdr:ext cx="774700" cy="241300"/>
    <xdr:sp macro="" textlink="">
      <xdr:nvSpPr>
        <xdr:cNvPr id="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4000000}"/>
            </a:ext>
          </a:extLst>
        </xdr:cNvPr>
        <xdr:cNvSpPr/>
      </xdr:nvSpPr>
      <xdr:spPr bwMode="auto">
        <a:xfrm>
          <a:off x="4965700" y="1263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5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6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7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8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63500</xdr:rowOff>
    </xdr:from>
    <xdr:ext cx="774700" cy="241300"/>
    <xdr:sp macro="" textlink="">
      <xdr:nvSpPr>
        <xdr:cNvPr id="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9000000}"/>
            </a:ext>
          </a:extLst>
        </xdr:cNvPr>
        <xdr:cNvSpPr/>
      </xdr:nvSpPr>
      <xdr:spPr bwMode="auto">
        <a:xfrm>
          <a:off x="4965700" y="12827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A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B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C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0</xdr:rowOff>
    </xdr:from>
    <xdr:ext cx="774700" cy="241300"/>
    <xdr:sp macro="" textlink="">
      <xdr:nvSpPr>
        <xdr:cNvPr id="7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D000000}"/>
            </a:ext>
          </a:extLst>
        </xdr:cNvPr>
        <xdr:cNvSpPr/>
      </xdr:nvSpPr>
      <xdr:spPr bwMode="auto">
        <a:xfrm>
          <a:off x="4965700" y="12763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38</xdr:row>
      <xdr:rowOff>63500</xdr:rowOff>
    </xdr:from>
    <xdr:ext cx="774700" cy="241300"/>
    <xdr:sp macro="" textlink="">
      <xdr:nvSpPr>
        <xdr:cNvPr id="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E000000}"/>
            </a:ext>
          </a:extLst>
        </xdr:cNvPr>
        <xdr:cNvSpPr/>
      </xdr:nvSpPr>
      <xdr:spPr bwMode="auto">
        <a:xfrm>
          <a:off x="4965700" y="12827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F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0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1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2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63500</xdr:rowOff>
    </xdr:from>
    <xdr:ext cx="774700" cy="241300"/>
    <xdr:sp macro="" textlink="">
      <xdr:nvSpPr>
        <xdr:cNvPr id="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3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4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5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6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7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63500</xdr:rowOff>
    </xdr:from>
    <xdr:ext cx="774700" cy="241300"/>
    <xdr:sp macro="" textlink="">
      <xdr:nvSpPr>
        <xdr:cNvPr id="8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8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9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9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A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9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B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0</xdr:rowOff>
    </xdr:from>
    <xdr:ext cx="774700" cy="241300"/>
    <xdr:sp macro="" textlink="">
      <xdr:nvSpPr>
        <xdr:cNvPr id="9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C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39</xdr:row>
      <xdr:rowOff>63500</xdr:rowOff>
    </xdr:from>
    <xdr:ext cx="774700" cy="241300"/>
    <xdr:sp macro="" textlink="">
      <xdr:nvSpPr>
        <xdr:cNvPr id="9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D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E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F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0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1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2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3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4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5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6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7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8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9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A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B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C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D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E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F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0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1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2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3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4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5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6000000}"/>
            </a:ext>
          </a:extLst>
        </xdr:cNvPr>
        <xdr:cNvSpPr/>
      </xdr:nvSpPr>
      <xdr:spPr bwMode="auto">
        <a:xfrm>
          <a:off x="4965700" y="12954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7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8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9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A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B000000}"/>
            </a:ext>
          </a:extLst>
        </xdr:cNvPr>
        <xdr:cNvSpPr/>
      </xdr:nvSpPr>
      <xdr:spPr bwMode="auto">
        <a:xfrm>
          <a:off x="4965700" y="13208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C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D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E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F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0000000}"/>
            </a:ext>
          </a:extLst>
        </xdr:cNvPr>
        <xdr:cNvSpPr/>
      </xdr:nvSpPr>
      <xdr:spPr bwMode="auto">
        <a:xfrm>
          <a:off x="4965700" y="13208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1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2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3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4000000}"/>
            </a:ext>
          </a:extLst>
        </xdr:cNvPr>
        <xdr:cNvSpPr/>
      </xdr:nvSpPr>
      <xdr:spPr bwMode="auto">
        <a:xfrm>
          <a:off x="4965700" y="13144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5000000}"/>
            </a:ext>
          </a:extLst>
        </xdr:cNvPr>
        <xdr:cNvSpPr/>
      </xdr:nvSpPr>
      <xdr:spPr bwMode="auto">
        <a:xfrm>
          <a:off x="4965700" y="13208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6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7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8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9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A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B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C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D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E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F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0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1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2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3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4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5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6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7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8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9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A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B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C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D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E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F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0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1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2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3000000}"/>
            </a:ext>
          </a:extLst>
        </xdr:cNvPr>
        <xdr:cNvSpPr/>
      </xdr:nvSpPr>
      <xdr:spPr bwMode="auto">
        <a:xfrm>
          <a:off x="4965700" y="13398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4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5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6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7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8000000}"/>
            </a:ext>
          </a:extLst>
        </xdr:cNvPr>
        <xdr:cNvSpPr/>
      </xdr:nvSpPr>
      <xdr:spPr bwMode="auto">
        <a:xfrm>
          <a:off x="4965700" y="13398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9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A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B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C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D000000}"/>
            </a:ext>
          </a:extLst>
        </xdr:cNvPr>
        <xdr:cNvSpPr/>
      </xdr:nvSpPr>
      <xdr:spPr bwMode="auto">
        <a:xfrm>
          <a:off x="4965700" y="13398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E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F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0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1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2000000}"/>
            </a:ext>
          </a:extLst>
        </xdr:cNvPr>
        <xdr:cNvSpPr/>
      </xdr:nvSpPr>
      <xdr:spPr bwMode="auto">
        <a:xfrm>
          <a:off x="4965700" y="13398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3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4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5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6000000}"/>
            </a:ext>
          </a:extLst>
        </xdr:cNvPr>
        <xdr:cNvSpPr/>
      </xdr:nvSpPr>
      <xdr:spPr bwMode="auto">
        <a:xfrm>
          <a:off x="4965700" y="13335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7000000}"/>
            </a:ext>
          </a:extLst>
        </xdr:cNvPr>
        <xdr:cNvSpPr/>
      </xdr:nvSpPr>
      <xdr:spPr bwMode="auto">
        <a:xfrm>
          <a:off x="4965700" y="13398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8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9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A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B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C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D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E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F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0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1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2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3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4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5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6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1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7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8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9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A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B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C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D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E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F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40</xdr:row>
      <xdr:rowOff>0</xdr:rowOff>
    </xdr:from>
    <xdr:ext cx="774700" cy="241300"/>
    <xdr:sp macro="" textlink="">
      <xdr:nvSpPr>
        <xdr:cNvPr id="20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0000000}"/>
            </a:ext>
          </a:extLst>
        </xdr:cNvPr>
        <xdr:cNvSpPr/>
      </xdr:nvSpPr>
      <xdr:spPr bwMode="auto">
        <a:xfrm>
          <a:off x="4965700" y="13525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1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2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3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4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63500</xdr:rowOff>
    </xdr:from>
    <xdr:ext cx="774700" cy="241300"/>
    <xdr:sp macro="" textlink="">
      <xdr:nvSpPr>
        <xdr:cNvPr id="21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5000000}"/>
            </a:ext>
          </a:extLst>
        </xdr:cNvPr>
        <xdr:cNvSpPr/>
      </xdr:nvSpPr>
      <xdr:spPr bwMode="auto">
        <a:xfrm>
          <a:off x="4965700" y="1377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6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7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8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9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63500</xdr:rowOff>
    </xdr:from>
    <xdr:ext cx="774700" cy="241300"/>
    <xdr:sp macro="" textlink="">
      <xdr:nvSpPr>
        <xdr:cNvPr id="21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A000000}"/>
            </a:ext>
          </a:extLst>
        </xdr:cNvPr>
        <xdr:cNvSpPr/>
      </xdr:nvSpPr>
      <xdr:spPr bwMode="auto">
        <a:xfrm>
          <a:off x="4965700" y="1377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B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C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D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E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63500</xdr:rowOff>
    </xdr:from>
    <xdr:ext cx="774700" cy="241300"/>
    <xdr:sp macro="" textlink="">
      <xdr:nvSpPr>
        <xdr:cNvPr id="2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F000000}"/>
            </a:ext>
          </a:extLst>
        </xdr:cNvPr>
        <xdr:cNvSpPr/>
      </xdr:nvSpPr>
      <xdr:spPr bwMode="auto">
        <a:xfrm>
          <a:off x="4965700" y="1377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0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1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2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3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63500</xdr:rowOff>
    </xdr:from>
    <xdr:ext cx="774700" cy="241300"/>
    <xdr:sp macro="" textlink="">
      <xdr:nvSpPr>
        <xdr:cNvPr id="2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4000000}"/>
            </a:ext>
          </a:extLst>
        </xdr:cNvPr>
        <xdr:cNvSpPr/>
      </xdr:nvSpPr>
      <xdr:spPr bwMode="auto">
        <a:xfrm>
          <a:off x="4965700" y="1377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5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6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7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0</xdr:rowOff>
    </xdr:from>
    <xdr:ext cx="774700" cy="241300"/>
    <xdr:sp macro="" textlink="">
      <xdr:nvSpPr>
        <xdr:cNvPr id="23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8000000}"/>
            </a:ext>
          </a:extLst>
        </xdr:cNvPr>
        <xdr:cNvSpPr/>
      </xdr:nvSpPr>
      <xdr:spPr bwMode="auto">
        <a:xfrm>
          <a:off x="4965700" y="13716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51</xdr:row>
      <xdr:rowOff>63500</xdr:rowOff>
    </xdr:from>
    <xdr:ext cx="774700" cy="241300"/>
    <xdr:sp macro="" textlink="">
      <xdr:nvSpPr>
        <xdr:cNvPr id="2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9000000}"/>
            </a:ext>
          </a:extLst>
        </xdr:cNvPr>
        <xdr:cNvSpPr/>
      </xdr:nvSpPr>
      <xdr:spPr bwMode="auto">
        <a:xfrm>
          <a:off x="4965700" y="13779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A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B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C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D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E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F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0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1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2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3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4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5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6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7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8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9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A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B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C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D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E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F00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2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2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7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C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0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1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5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6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A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B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F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0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1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2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3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4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5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6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7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8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9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A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B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C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D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8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E010000}"/>
            </a:ext>
          </a:extLst>
        </xdr:cNvPr>
        <xdr:cNvSpPr/>
      </xdr:nvSpPr>
      <xdr:spPr bwMode="auto">
        <a:xfrm>
          <a:off x="4965700" y="139065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F010000}"/>
            </a:ext>
          </a:extLst>
        </xdr:cNvPr>
        <xdr:cNvSpPr/>
      </xdr:nvSpPr>
      <xdr:spPr bwMode="auto">
        <a:xfrm>
          <a:off x="4965700" y="1397000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xdr:from>
      <xdr:col>2</xdr:col>
      <xdr:colOff>14110</xdr:colOff>
      <xdr:row>5</xdr:row>
      <xdr:rowOff>232454</xdr:rowOff>
    </xdr:from>
    <xdr:to>
      <xdr:col>6</xdr:col>
      <xdr:colOff>1715447</xdr:colOff>
      <xdr:row>7</xdr:row>
      <xdr:rowOff>54429</xdr:rowOff>
    </xdr:to>
    <xdr:graphicFrame macro="">
      <xdr:nvGraphicFramePr>
        <xdr:cNvPr id="384" name="Chart 383">
          <a:extLst>
            <a:ext uri="{FF2B5EF4-FFF2-40B4-BE49-F238E27FC236}">
              <a16:creationId xmlns:a16="http://schemas.microsoft.com/office/drawing/2014/main" id="{00000000-0008-0000-0300-00008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50800</xdr:colOff>
      <xdr:row>34</xdr:row>
      <xdr:rowOff>0</xdr:rowOff>
    </xdr:from>
    <xdr:ext cx="774700" cy="241300"/>
    <xdr:sp macro="" textlink="">
      <xdr:nvSpPr>
        <xdr:cNvPr id="38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1010000}"/>
            </a:ext>
          </a:extLst>
        </xdr:cNvPr>
        <xdr:cNvSpPr/>
      </xdr:nvSpPr>
      <xdr:spPr bwMode="auto">
        <a:xfrm>
          <a:off x="5765800" y="2849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38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2010000}"/>
            </a:ext>
          </a:extLst>
        </xdr:cNvPr>
        <xdr:cNvSpPr/>
      </xdr:nvSpPr>
      <xdr:spPr bwMode="auto">
        <a:xfrm>
          <a:off x="5765800" y="2849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3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3010000}"/>
            </a:ext>
          </a:extLst>
        </xdr:cNvPr>
        <xdr:cNvSpPr/>
      </xdr:nvSpPr>
      <xdr:spPr bwMode="auto">
        <a:xfrm>
          <a:off x="5765800" y="2849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38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4010000}"/>
            </a:ext>
          </a:extLst>
        </xdr:cNvPr>
        <xdr:cNvSpPr/>
      </xdr:nvSpPr>
      <xdr:spPr bwMode="auto">
        <a:xfrm>
          <a:off x="5765800" y="2849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34</xdr:row>
      <xdr:rowOff>0</xdr:rowOff>
    </xdr:from>
    <xdr:ext cx="774700" cy="241300"/>
    <xdr:sp macro="" textlink="">
      <xdr:nvSpPr>
        <xdr:cNvPr id="3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5010000}"/>
            </a:ext>
          </a:extLst>
        </xdr:cNvPr>
        <xdr:cNvSpPr/>
      </xdr:nvSpPr>
      <xdr:spPr bwMode="auto">
        <a:xfrm>
          <a:off x="5765800" y="2855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6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7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8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9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3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A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B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C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D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39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E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3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F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0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1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2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3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4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5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6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7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8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9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A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B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C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D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E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F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0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1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2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3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4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5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6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7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8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9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A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B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2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C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D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E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F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0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1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2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3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4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5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3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6010000}"/>
            </a:ext>
          </a:extLst>
        </xdr:cNvPr>
        <xdr:cNvSpPr/>
      </xdr:nvSpPr>
      <xdr:spPr bwMode="auto">
        <a:xfrm>
          <a:off x="5765800" y="437356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7010000}"/>
            </a:ext>
          </a:extLst>
        </xdr:cNvPr>
        <xdr:cNvSpPr/>
      </xdr:nvSpPr>
      <xdr:spPr bwMode="auto">
        <a:xfrm>
          <a:off x="5765800" y="43799125"/>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8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9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A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B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C010000}"/>
            </a:ext>
          </a:extLst>
        </xdr:cNvPr>
        <xdr:cNvSpPr/>
      </xdr:nvSpPr>
      <xdr:spPr bwMode="auto">
        <a:xfrm>
          <a:off x="5765800" y="400923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D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E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F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4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0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1010000}"/>
            </a:ext>
          </a:extLst>
        </xdr:cNvPr>
        <xdr:cNvSpPr/>
      </xdr:nvSpPr>
      <xdr:spPr bwMode="auto">
        <a:xfrm>
          <a:off x="5765800" y="400923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2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3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4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5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6010000}"/>
            </a:ext>
          </a:extLst>
        </xdr:cNvPr>
        <xdr:cNvSpPr/>
      </xdr:nvSpPr>
      <xdr:spPr bwMode="auto">
        <a:xfrm>
          <a:off x="5765800" y="400923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7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8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9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5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A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B010000}"/>
            </a:ext>
          </a:extLst>
        </xdr:cNvPr>
        <xdr:cNvSpPr/>
      </xdr:nvSpPr>
      <xdr:spPr bwMode="auto">
        <a:xfrm>
          <a:off x="5765800" y="400923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6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C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6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D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E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0</xdr:rowOff>
    </xdr:from>
    <xdr:ext cx="774700" cy="241300"/>
    <xdr:sp macro="" textlink="">
      <xdr:nvSpPr>
        <xdr:cNvPr id="46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F010000}"/>
            </a:ext>
          </a:extLst>
        </xdr:cNvPr>
        <xdr:cNvSpPr/>
      </xdr:nvSpPr>
      <xdr:spPr bwMode="auto">
        <a:xfrm>
          <a:off x="5765800" y="400288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54</xdr:row>
      <xdr:rowOff>63500</xdr:rowOff>
    </xdr:from>
    <xdr:ext cx="774700" cy="241300"/>
    <xdr:sp macro="" textlink="">
      <xdr:nvSpPr>
        <xdr:cNvPr id="4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0010000}"/>
            </a:ext>
          </a:extLst>
        </xdr:cNvPr>
        <xdr:cNvSpPr/>
      </xdr:nvSpPr>
      <xdr:spPr bwMode="auto">
        <a:xfrm>
          <a:off x="5765800" y="40092313"/>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6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1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6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2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3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6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4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4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5010000}"/>
            </a:ext>
          </a:extLst>
        </xdr:cNvPr>
        <xdr:cNvSpPr/>
      </xdr:nvSpPr>
      <xdr:spPr bwMode="auto">
        <a:xfrm>
          <a:off x="5774047" y="45239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6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7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8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9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4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A010000}"/>
            </a:ext>
          </a:extLst>
        </xdr:cNvPr>
        <xdr:cNvSpPr/>
      </xdr:nvSpPr>
      <xdr:spPr bwMode="auto">
        <a:xfrm>
          <a:off x="5774047" y="45239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B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C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D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7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E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4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F010000}"/>
            </a:ext>
          </a:extLst>
        </xdr:cNvPr>
        <xdr:cNvSpPr/>
      </xdr:nvSpPr>
      <xdr:spPr bwMode="auto">
        <a:xfrm>
          <a:off x="5774047" y="45239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0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1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2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3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4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4010000}"/>
            </a:ext>
          </a:extLst>
        </xdr:cNvPr>
        <xdr:cNvSpPr/>
      </xdr:nvSpPr>
      <xdr:spPr bwMode="auto">
        <a:xfrm>
          <a:off x="5774047" y="45239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5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6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7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0</xdr:rowOff>
    </xdr:from>
    <xdr:ext cx="774700" cy="241300"/>
    <xdr:sp macro="" textlink="">
      <xdr:nvSpPr>
        <xdr:cNvPr id="48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8010000}"/>
            </a:ext>
          </a:extLst>
        </xdr:cNvPr>
        <xdr:cNvSpPr/>
      </xdr:nvSpPr>
      <xdr:spPr bwMode="auto">
        <a:xfrm>
          <a:off x="5774047" y="45175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4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9010000}"/>
            </a:ext>
          </a:extLst>
        </xdr:cNvPr>
        <xdr:cNvSpPr/>
      </xdr:nvSpPr>
      <xdr:spPr bwMode="auto">
        <a:xfrm>
          <a:off x="5774047" y="45239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A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B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C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D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63500</xdr:rowOff>
    </xdr:from>
    <xdr:ext cx="774700" cy="241300"/>
    <xdr:sp macro="" textlink="">
      <xdr:nvSpPr>
        <xdr:cNvPr id="4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E010000}"/>
            </a:ext>
          </a:extLst>
        </xdr:cNvPr>
        <xdr:cNvSpPr/>
      </xdr:nvSpPr>
      <xdr:spPr bwMode="auto">
        <a:xfrm>
          <a:off x="5774047" y="432682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F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0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1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49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2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63500</xdr:rowOff>
    </xdr:from>
    <xdr:ext cx="774700" cy="241300"/>
    <xdr:sp macro="" textlink="">
      <xdr:nvSpPr>
        <xdr:cNvPr id="4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3010000}"/>
            </a:ext>
          </a:extLst>
        </xdr:cNvPr>
        <xdr:cNvSpPr/>
      </xdr:nvSpPr>
      <xdr:spPr bwMode="auto">
        <a:xfrm>
          <a:off x="5774047" y="432682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50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4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50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5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5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6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0</xdr:rowOff>
    </xdr:from>
    <xdr:ext cx="774700" cy="241300"/>
    <xdr:sp macro="" textlink="">
      <xdr:nvSpPr>
        <xdr:cNvPr id="50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7010000}"/>
            </a:ext>
          </a:extLst>
        </xdr:cNvPr>
        <xdr:cNvSpPr/>
      </xdr:nvSpPr>
      <xdr:spPr bwMode="auto">
        <a:xfrm>
          <a:off x="5774047" y="432047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48</xdr:row>
      <xdr:rowOff>63500</xdr:rowOff>
    </xdr:from>
    <xdr:ext cx="774700" cy="241300"/>
    <xdr:sp macro="" textlink="">
      <xdr:nvSpPr>
        <xdr:cNvPr id="5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8010000}"/>
            </a:ext>
          </a:extLst>
        </xdr:cNvPr>
        <xdr:cNvSpPr/>
      </xdr:nvSpPr>
      <xdr:spPr bwMode="auto">
        <a:xfrm>
          <a:off x="5774047" y="43268240"/>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0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9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0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A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B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C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D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E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F01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5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C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D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E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F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0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1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2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3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4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5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6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7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8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9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A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50</xdr:row>
      <xdr:rowOff>0</xdr:rowOff>
    </xdr:from>
    <xdr:ext cx="774700" cy="241300"/>
    <xdr:sp macro="" textlink="">
      <xdr:nvSpPr>
        <xdr:cNvPr id="6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B020000}"/>
            </a:ext>
          </a:extLst>
        </xdr:cNvPr>
        <xdr:cNvSpPr/>
      </xdr:nvSpPr>
      <xdr:spPr bwMode="auto">
        <a:xfrm>
          <a:off x="5774047" y="4438402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46</xdr:row>
      <xdr:rowOff>63500</xdr:rowOff>
    </xdr:from>
    <xdr:ext cx="774700" cy="241300"/>
    <xdr:sp macro="" textlink="">
      <xdr:nvSpPr>
        <xdr:cNvPr id="62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C020000}"/>
            </a:ext>
          </a:extLst>
        </xdr:cNvPr>
        <xdr:cNvSpPr/>
      </xdr:nvSpPr>
      <xdr:spPr bwMode="auto">
        <a:xfrm>
          <a:off x="5774047" y="3626674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29</xdr:row>
      <xdr:rowOff>0</xdr:rowOff>
    </xdr:from>
    <xdr:ext cx="774700" cy="241300"/>
    <xdr:sp macro="" textlink="">
      <xdr:nvSpPr>
        <xdr:cNvPr id="6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D020000}"/>
            </a:ext>
          </a:extLst>
        </xdr:cNvPr>
        <xdr:cNvSpPr/>
      </xdr:nvSpPr>
      <xdr:spPr bwMode="auto">
        <a:xfrm>
          <a:off x="5773271" y="1275229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29</xdr:row>
      <xdr:rowOff>0</xdr:rowOff>
    </xdr:from>
    <xdr:ext cx="774700" cy="241300"/>
    <xdr:sp macro="" textlink="">
      <xdr:nvSpPr>
        <xdr:cNvPr id="62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E020000}"/>
            </a:ext>
          </a:extLst>
        </xdr:cNvPr>
        <xdr:cNvSpPr/>
      </xdr:nvSpPr>
      <xdr:spPr bwMode="auto">
        <a:xfrm>
          <a:off x="5773271" y="1275229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29</xdr:row>
      <xdr:rowOff>0</xdr:rowOff>
    </xdr:from>
    <xdr:ext cx="774700" cy="241300"/>
    <xdr:sp macro="" textlink="">
      <xdr:nvSpPr>
        <xdr:cNvPr id="6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F020000}"/>
            </a:ext>
          </a:extLst>
        </xdr:cNvPr>
        <xdr:cNvSpPr/>
      </xdr:nvSpPr>
      <xdr:spPr bwMode="auto">
        <a:xfrm>
          <a:off x="5773271" y="1275229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29</xdr:row>
      <xdr:rowOff>0</xdr:rowOff>
    </xdr:from>
    <xdr:ext cx="774700" cy="241300"/>
    <xdr:sp macro="" textlink="">
      <xdr:nvSpPr>
        <xdr:cNvPr id="62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0020000}"/>
            </a:ext>
          </a:extLst>
        </xdr:cNvPr>
        <xdr:cNvSpPr/>
      </xdr:nvSpPr>
      <xdr:spPr bwMode="auto">
        <a:xfrm>
          <a:off x="5773271" y="1275229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29</xdr:row>
      <xdr:rowOff>63500</xdr:rowOff>
    </xdr:from>
    <xdr:ext cx="774700" cy="241300"/>
    <xdr:sp macro="" textlink="">
      <xdr:nvSpPr>
        <xdr:cNvPr id="62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1020000}"/>
            </a:ext>
          </a:extLst>
        </xdr:cNvPr>
        <xdr:cNvSpPr/>
      </xdr:nvSpPr>
      <xdr:spPr bwMode="auto">
        <a:xfrm>
          <a:off x="5773271" y="1281579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2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2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3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4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2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5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3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6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7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8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9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A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3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B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C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D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E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3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F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4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0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1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2"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2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3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4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4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5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6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7"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7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8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0</xdr:rowOff>
    </xdr:from>
    <xdr:ext cx="774700" cy="241300"/>
    <xdr:sp macro="" textlink="">
      <xdr:nvSpPr>
        <xdr:cNvPr id="64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9020000}"/>
            </a:ext>
          </a:extLst>
        </xdr:cNvPr>
        <xdr:cNvSpPr/>
      </xdr:nvSpPr>
      <xdr:spPr bwMode="auto">
        <a:xfrm>
          <a:off x="6682014" y="377462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A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B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C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D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E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F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0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41</xdr:row>
      <xdr:rowOff>63500</xdr:rowOff>
    </xdr:from>
    <xdr:ext cx="774700" cy="241300"/>
    <xdr:sp macro="" textlink="">
      <xdr:nvSpPr>
        <xdr:cNvPr id="6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1020000}"/>
            </a:ext>
          </a:extLst>
        </xdr:cNvPr>
        <xdr:cNvSpPr/>
      </xdr:nvSpPr>
      <xdr:spPr bwMode="auto">
        <a:xfrm>
          <a:off x="6682014" y="37809714"/>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5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6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7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8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69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0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1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2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3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4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0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1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2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3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4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5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6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5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7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8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9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A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B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C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D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E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F02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003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6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103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7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203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7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303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45</xdr:row>
      <xdr:rowOff>0</xdr:rowOff>
    </xdr:from>
    <xdr:ext cx="774700" cy="241300"/>
    <xdr:sp macro="" textlink="">
      <xdr:nvSpPr>
        <xdr:cNvPr id="7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4030000}"/>
            </a:ext>
          </a:extLst>
        </xdr:cNvPr>
        <xdr:cNvSpPr/>
      </xdr:nvSpPr>
      <xdr:spPr bwMode="auto">
        <a:xfrm>
          <a:off x="6682014" y="36548786"/>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5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6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7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8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63500</xdr:rowOff>
    </xdr:from>
    <xdr:ext cx="774700" cy="241300"/>
    <xdr:sp macro="" textlink="">
      <xdr:nvSpPr>
        <xdr:cNvPr id="7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9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A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7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B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C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D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63500</xdr:rowOff>
    </xdr:from>
    <xdr:ext cx="774700" cy="241300"/>
    <xdr:sp macro="" textlink="">
      <xdr:nvSpPr>
        <xdr:cNvPr id="7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E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F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0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1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0</xdr:rowOff>
    </xdr:from>
    <xdr:ext cx="774700" cy="241300"/>
    <xdr:sp macro="" textlink="">
      <xdr:nvSpPr>
        <xdr:cNvPr id="78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2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43</xdr:row>
      <xdr:rowOff>63500</xdr:rowOff>
    </xdr:from>
    <xdr:ext cx="774700" cy="241300"/>
    <xdr:sp macro="" textlink="">
      <xdr:nvSpPr>
        <xdr:cNvPr id="7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3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8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4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8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5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6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7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7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8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9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A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B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C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7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D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8"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E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799"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F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00"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0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01"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1030000}"/>
            </a:ext>
          </a:extLst>
        </xdr:cNvPr>
        <xdr:cNvSpPr/>
      </xdr:nvSpPr>
      <xdr:spPr bwMode="auto">
        <a:xfrm>
          <a:off x="6682014" y="382088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8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2030000}"/>
            </a:ext>
          </a:extLst>
        </xdr:cNvPr>
        <xdr:cNvSpPr/>
      </xdr:nvSpPr>
      <xdr:spPr bwMode="auto">
        <a:xfrm>
          <a:off x="6682014" y="38272357"/>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20</xdr:row>
      <xdr:rowOff>0</xdr:rowOff>
    </xdr:from>
    <xdr:ext cx="774700" cy="241300"/>
    <xdr:sp macro="" textlink="">
      <xdr:nvSpPr>
        <xdr:cNvPr id="803"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3030000}"/>
            </a:ext>
          </a:extLst>
        </xdr:cNvPr>
        <xdr:cNvSpPr/>
      </xdr:nvSpPr>
      <xdr:spPr bwMode="auto">
        <a:xfrm>
          <a:off x="6682014" y="17217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20</xdr:row>
      <xdr:rowOff>0</xdr:rowOff>
    </xdr:from>
    <xdr:ext cx="774700" cy="241300"/>
    <xdr:sp macro="" textlink="">
      <xdr:nvSpPr>
        <xdr:cNvPr id="804"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4030000}"/>
            </a:ext>
          </a:extLst>
        </xdr:cNvPr>
        <xdr:cNvSpPr/>
      </xdr:nvSpPr>
      <xdr:spPr bwMode="auto">
        <a:xfrm>
          <a:off x="6682014" y="17217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20</xdr:row>
      <xdr:rowOff>63500</xdr:rowOff>
    </xdr:from>
    <xdr:ext cx="774700" cy="241300"/>
    <xdr:sp macro="" textlink="">
      <xdr:nvSpPr>
        <xdr:cNvPr id="805"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5030000}"/>
            </a:ext>
          </a:extLst>
        </xdr:cNvPr>
        <xdr:cNvSpPr/>
      </xdr:nvSpPr>
      <xdr:spPr bwMode="auto">
        <a:xfrm>
          <a:off x="6682014" y="17281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20</xdr:row>
      <xdr:rowOff>279400</xdr:rowOff>
    </xdr:from>
    <xdr:ext cx="774700" cy="241300"/>
    <xdr:sp macro="" textlink="">
      <xdr:nvSpPr>
        <xdr:cNvPr id="806"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6030000}"/>
            </a:ext>
          </a:extLst>
        </xdr:cNvPr>
        <xdr:cNvSpPr/>
      </xdr:nvSpPr>
      <xdr:spPr bwMode="auto">
        <a:xfrm>
          <a:off x="6682014" y="174969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7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8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9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A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8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B030000}"/>
            </a:ext>
          </a:extLst>
        </xdr:cNvPr>
        <xdr:cNvSpPr/>
      </xdr:nvSpPr>
      <xdr:spPr bwMode="auto">
        <a:xfrm>
          <a:off x="6682014" y="39424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C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D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E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F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8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0030000}"/>
            </a:ext>
          </a:extLst>
        </xdr:cNvPr>
        <xdr:cNvSpPr/>
      </xdr:nvSpPr>
      <xdr:spPr bwMode="auto">
        <a:xfrm>
          <a:off x="6682014" y="39424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1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2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3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0</xdr:rowOff>
    </xdr:from>
    <xdr:ext cx="774700" cy="241300"/>
    <xdr:sp macro="" textlink="">
      <xdr:nvSpPr>
        <xdr:cNvPr id="8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4030000}"/>
            </a:ext>
          </a:extLst>
        </xdr:cNvPr>
        <xdr:cNvSpPr/>
      </xdr:nvSpPr>
      <xdr:spPr bwMode="auto">
        <a:xfrm>
          <a:off x="6682014" y="39360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44</xdr:row>
      <xdr:rowOff>63500</xdr:rowOff>
    </xdr:from>
    <xdr:ext cx="774700" cy="241300"/>
    <xdr:sp macro="" textlink="">
      <xdr:nvSpPr>
        <xdr:cNvPr id="8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5030000}"/>
            </a:ext>
          </a:extLst>
        </xdr:cNvPr>
        <xdr:cNvSpPr/>
      </xdr:nvSpPr>
      <xdr:spPr bwMode="auto">
        <a:xfrm>
          <a:off x="6682014" y="39424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6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7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8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9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63500</xdr:rowOff>
    </xdr:from>
    <xdr:ext cx="774700" cy="241300"/>
    <xdr:sp macro="" textlink="">
      <xdr:nvSpPr>
        <xdr:cNvPr id="8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A030000}"/>
            </a:ext>
          </a:extLst>
        </xdr:cNvPr>
        <xdr:cNvSpPr/>
      </xdr:nvSpPr>
      <xdr:spPr bwMode="auto">
        <a:xfrm>
          <a:off x="6682014" y="43869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B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C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D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3E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63500</xdr:rowOff>
    </xdr:from>
    <xdr:ext cx="774700" cy="241300"/>
    <xdr:sp macro="" textlink="">
      <xdr:nvSpPr>
        <xdr:cNvPr id="8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3F030000}"/>
            </a:ext>
          </a:extLst>
        </xdr:cNvPr>
        <xdr:cNvSpPr/>
      </xdr:nvSpPr>
      <xdr:spPr bwMode="auto">
        <a:xfrm>
          <a:off x="6682014" y="43869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0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3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1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2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0</xdr:rowOff>
    </xdr:from>
    <xdr:ext cx="774700" cy="241300"/>
    <xdr:sp macro="" textlink="">
      <xdr:nvSpPr>
        <xdr:cNvPr id="8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3030000}"/>
            </a:ext>
          </a:extLst>
        </xdr:cNvPr>
        <xdr:cNvSpPr/>
      </xdr:nvSpPr>
      <xdr:spPr bwMode="auto">
        <a:xfrm>
          <a:off x="6682014" y="438059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49</xdr:row>
      <xdr:rowOff>63500</xdr:rowOff>
    </xdr:from>
    <xdr:ext cx="774700" cy="241300"/>
    <xdr:sp macro="" textlink="">
      <xdr:nvSpPr>
        <xdr:cNvPr id="8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4030000}"/>
            </a:ext>
          </a:extLst>
        </xdr:cNvPr>
        <xdr:cNvSpPr/>
      </xdr:nvSpPr>
      <xdr:spPr bwMode="auto">
        <a:xfrm>
          <a:off x="6682014" y="43869429"/>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3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4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4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5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5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6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6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7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7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8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8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8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9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9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A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A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B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B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6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C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C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7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8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D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99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DF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3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99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4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99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8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0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9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ED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0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E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E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0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0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1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2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1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3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4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5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6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7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1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8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9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A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1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B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C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2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D03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FE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FF03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0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1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2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2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3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4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2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5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6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3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7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8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9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A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B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3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C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D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0E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3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0F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0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4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1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2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3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4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5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4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6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7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8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4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9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A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5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B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2"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C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3"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D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4"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1E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5"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1F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56"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0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7"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1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8"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2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59"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3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0</xdr:rowOff>
    </xdr:from>
    <xdr:ext cx="774700" cy="241300"/>
    <xdr:sp macro="" textlink="">
      <xdr:nvSpPr>
        <xdr:cNvPr id="1060" name="CheckBox2" hidden="1">
          <a:extLst>
            <a:ext uri="{63B3BB69-23CF-44E3-9099-C40C66FF867C}">
              <a14:compatExt xmlns:a14="http://schemas.microsoft.com/office/drawing/2010/main" spid="_x0000_s2059"/>
            </a:ext>
            <a:ext uri="{FF2B5EF4-FFF2-40B4-BE49-F238E27FC236}">
              <a16:creationId xmlns:a16="http://schemas.microsoft.com/office/drawing/2014/main" id="{00000000-0008-0000-0300-000024040000}"/>
            </a:ext>
          </a:extLst>
        </xdr:cNvPr>
        <xdr:cNvSpPr/>
      </xdr:nvSpPr>
      <xdr:spPr bwMode="auto">
        <a:xfrm>
          <a:off x="6682014" y="482690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6</xdr:col>
      <xdr:colOff>50800</xdr:colOff>
      <xdr:row>53</xdr:row>
      <xdr:rowOff>63500</xdr:rowOff>
    </xdr:from>
    <xdr:ext cx="774700" cy="241300"/>
    <xdr:sp macro="" textlink="">
      <xdr:nvSpPr>
        <xdr:cNvPr id="1061" name="In_House" hidden="1">
          <a:extLst>
            <a:ext uri="{63B3BB69-23CF-44E3-9099-C40C66FF867C}">
              <a14:compatExt xmlns:a14="http://schemas.microsoft.com/office/drawing/2010/main" spid="_x0000_s2057"/>
            </a:ext>
            <a:ext uri="{FF2B5EF4-FFF2-40B4-BE49-F238E27FC236}">
              <a16:creationId xmlns:a16="http://schemas.microsoft.com/office/drawing/2014/main" id="{00000000-0008-0000-0300-000025040000}"/>
            </a:ext>
          </a:extLst>
        </xdr:cNvPr>
        <xdr:cNvSpPr/>
      </xdr:nvSpPr>
      <xdr:spPr bwMode="auto">
        <a:xfrm>
          <a:off x="6682014" y="48332571"/>
          <a:ext cx="774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5.xml><?xml version="1.0" encoding="utf-8"?>
<c:userShapes xmlns:c="http://schemas.openxmlformats.org/drawingml/2006/chart">
  <cdr:relSizeAnchor xmlns:cdr="http://schemas.openxmlformats.org/drawingml/2006/chartDrawing">
    <cdr:from>
      <cdr:x>0.48438</cdr:x>
      <cdr:y>0.0385</cdr:y>
    </cdr:from>
    <cdr:to>
      <cdr:x>0.55094</cdr:x>
      <cdr:y>0.101</cdr:y>
    </cdr:to>
    <cdr:sp macro="" textlink="'HIDE-Nilai'!$G$8">
      <cdr:nvSpPr>
        <cdr:cNvPr id="3" name="TextBox 2">
          <a:extLst xmlns:a="http://schemas.openxmlformats.org/drawingml/2006/main">
            <a:ext uri="{FF2B5EF4-FFF2-40B4-BE49-F238E27FC236}">
              <a16:creationId xmlns:a16="http://schemas.microsoft.com/office/drawing/2014/main" id="{39CC5FAE-4921-47BD-B0E4-2E13829A610F}"/>
            </a:ext>
          </a:extLst>
        </cdr:cNvPr>
        <cdr:cNvSpPr txBox="1"/>
      </cdr:nvSpPr>
      <cdr:spPr>
        <a:xfrm xmlns:a="http://schemas.openxmlformats.org/drawingml/2006/main">
          <a:off x="3646037" y="176138"/>
          <a:ext cx="501015" cy="28596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none" rtlCol="0"/>
        <a:lstStyle xmlns:a="http://schemas.openxmlformats.org/drawingml/2006/main"/>
        <a:p xmlns:a="http://schemas.openxmlformats.org/drawingml/2006/main">
          <a:fld id="{7289382F-84D6-464E-BC07-7085B015EEBD}" type="TxLink">
            <a:rPr lang="en-US" sz="1050" b="0" i="0" u="none" strike="noStrike">
              <a:solidFill>
                <a:schemeClr val="accent4">
                  <a:lumMod val="75000"/>
                </a:schemeClr>
              </a:solidFill>
              <a:latin typeface="Calibri"/>
              <a:cs typeface="Calibri"/>
            </a:rPr>
            <a:pPr/>
            <a:t>0 / 2</a:t>
          </a:fld>
          <a:endParaRPr lang="id-ID" sz="1050">
            <a:solidFill>
              <a:schemeClr val="accent4">
                <a:lumMod val="75000"/>
              </a:schemeClr>
            </a:solidFill>
          </a:endParaRPr>
        </a:p>
      </cdr:txBody>
    </cdr:sp>
  </cdr:relSizeAnchor>
  <cdr:relSizeAnchor xmlns:cdr="http://schemas.openxmlformats.org/drawingml/2006/chartDrawing">
    <cdr:from>
      <cdr:x>0.7414</cdr:x>
      <cdr:y>0.31529</cdr:y>
    </cdr:from>
    <cdr:to>
      <cdr:x>0.80795</cdr:x>
      <cdr:y>0.37779</cdr:y>
    </cdr:to>
    <cdr:sp macro="" textlink="'HIDE-Nilai'!$G$9">
      <cdr:nvSpPr>
        <cdr:cNvPr id="4" name="TextBox 1">
          <a:extLst xmlns:a="http://schemas.openxmlformats.org/drawingml/2006/main">
            <a:ext uri="{FF2B5EF4-FFF2-40B4-BE49-F238E27FC236}">
              <a16:creationId xmlns:a16="http://schemas.microsoft.com/office/drawing/2014/main" id="{131A5445-1D7C-40A6-8BAD-D7CA73A55D9C}"/>
            </a:ext>
          </a:extLst>
        </cdr:cNvPr>
        <cdr:cNvSpPr txBox="1"/>
      </cdr:nvSpPr>
      <cdr:spPr>
        <a:xfrm xmlns:a="http://schemas.openxmlformats.org/drawingml/2006/main">
          <a:off x="5856854" y="1443938"/>
          <a:ext cx="525725" cy="28623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7702DE0A-D3E2-4FA5-855B-5C879C6055FA}" type="TxLink">
            <a:rPr lang="en-US" sz="1050" b="0" i="0" u="none" strike="noStrike">
              <a:solidFill>
                <a:schemeClr val="accent4">
                  <a:lumMod val="75000"/>
                </a:schemeClr>
              </a:solidFill>
              <a:latin typeface="Calibri"/>
              <a:cs typeface="Calibri"/>
            </a:rPr>
            <a:pPr/>
            <a:t>0 / 1</a:t>
          </a:fld>
          <a:endParaRPr lang="id-ID" sz="900">
            <a:solidFill>
              <a:schemeClr val="accent4">
                <a:lumMod val="75000"/>
              </a:schemeClr>
            </a:solidFill>
          </a:endParaRPr>
        </a:p>
      </cdr:txBody>
    </cdr:sp>
  </cdr:relSizeAnchor>
  <cdr:relSizeAnchor xmlns:cdr="http://schemas.openxmlformats.org/drawingml/2006/chartDrawing">
    <cdr:from>
      <cdr:x>0.79858</cdr:x>
      <cdr:y>0.49939</cdr:y>
    </cdr:from>
    <cdr:to>
      <cdr:x>0.86513</cdr:x>
      <cdr:y>0.56189</cdr:y>
    </cdr:to>
    <cdr:sp macro="" textlink="'HIDE-Nilai'!$G$10">
      <cdr:nvSpPr>
        <cdr:cNvPr id="5" name="TextBox 1">
          <a:extLst xmlns:a="http://schemas.openxmlformats.org/drawingml/2006/main">
            <a:ext uri="{FF2B5EF4-FFF2-40B4-BE49-F238E27FC236}">
              <a16:creationId xmlns:a16="http://schemas.microsoft.com/office/drawing/2014/main" id="{6DB70B1E-B9CE-443C-9185-955788596D3D}"/>
            </a:ext>
          </a:extLst>
        </cdr:cNvPr>
        <cdr:cNvSpPr txBox="1"/>
      </cdr:nvSpPr>
      <cdr:spPr>
        <a:xfrm xmlns:a="http://schemas.openxmlformats.org/drawingml/2006/main">
          <a:off x="6308559" y="2287072"/>
          <a:ext cx="525725" cy="286234"/>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E91EDA1-7F7B-4EC5-B0F8-A49C7F6CD781}" type="TxLink">
            <a:rPr lang="en-US" sz="1050" b="0" i="0" u="none" strike="noStrike">
              <a:solidFill>
                <a:schemeClr val="accent4">
                  <a:lumMod val="75000"/>
                </a:schemeClr>
              </a:solidFill>
              <a:latin typeface="Calibri"/>
              <a:cs typeface="Calibri"/>
            </a:rPr>
            <a:pPr/>
            <a:t>0 / 2</a:t>
          </a:fld>
          <a:endParaRPr lang="id-ID" sz="900">
            <a:solidFill>
              <a:schemeClr val="accent4">
                <a:lumMod val="75000"/>
              </a:schemeClr>
            </a:solidFill>
          </a:endParaRPr>
        </a:p>
      </cdr:txBody>
    </cdr:sp>
  </cdr:relSizeAnchor>
  <cdr:relSizeAnchor xmlns:cdr="http://schemas.openxmlformats.org/drawingml/2006/chartDrawing">
    <cdr:from>
      <cdr:x>0.66617</cdr:x>
      <cdr:y>0.8805</cdr:y>
    </cdr:from>
    <cdr:to>
      <cdr:x>0.73272</cdr:x>
      <cdr:y>0.94751</cdr:y>
    </cdr:to>
    <cdr:sp macro="" textlink="'HIDE-Nilai'!$G$12">
      <cdr:nvSpPr>
        <cdr:cNvPr id="6" name="TextBox 1">
          <a:extLst xmlns:a="http://schemas.openxmlformats.org/drawingml/2006/main">
            <a:ext uri="{FF2B5EF4-FFF2-40B4-BE49-F238E27FC236}">
              <a16:creationId xmlns:a16="http://schemas.microsoft.com/office/drawing/2014/main" id="{63ECDCAD-8C69-46FF-BABC-0E25640B5D35}"/>
            </a:ext>
          </a:extLst>
        </cdr:cNvPr>
        <cdr:cNvSpPr txBox="1"/>
      </cdr:nvSpPr>
      <cdr:spPr>
        <a:xfrm xmlns:a="http://schemas.openxmlformats.org/drawingml/2006/main">
          <a:off x="5262562" y="4032472"/>
          <a:ext cx="525724" cy="306866"/>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52B14BF-CFCA-4AD6-B73B-E14AFD83D3C5}" type="TxLink">
            <a:rPr lang="en-US" sz="1050" b="0" i="0" u="none" strike="noStrike">
              <a:solidFill>
                <a:schemeClr val="accent4">
                  <a:lumMod val="75000"/>
                </a:schemeClr>
              </a:solidFill>
              <a:latin typeface="Calibri"/>
              <a:cs typeface="Calibri"/>
            </a:rPr>
            <a:pPr/>
            <a:t>0 / 4</a:t>
          </a:fld>
          <a:endParaRPr lang="id-ID" sz="900">
            <a:solidFill>
              <a:schemeClr val="accent4">
                <a:lumMod val="75000"/>
              </a:schemeClr>
            </a:solidFill>
          </a:endParaRPr>
        </a:p>
      </cdr:txBody>
    </cdr:sp>
  </cdr:relSizeAnchor>
  <cdr:relSizeAnchor xmlns:cdr="http://schemas.openxmlformats.org/drawingml/2006/chartDrawing">
    <cdr:from>
      <cdr:x>0.27755</cdr:x>
      <cdr:y>0.8972</cdr:y>
    </cdr:from>
    <cdr:to>
      <cdr:x>0.3441</cdr:x>
      <cdr:y>0.9597</cdr:y>
    </cdr:to>
    <cdr:sp macro="" textlink="'HIDE-Nilai'!$G$13">
      <cdr:nvSpPr>
        <cdr:cNvPr id="7" name="TextBox 1">
          <a:extLst xmlns:a="http://schemas.openxmlformats.org/drawingml/2006/main">
            <a:ext uri="{FF2B5EF4-FFF2-40B4-BE49-F238E27FC236}">
              <a16:creationId xmlns:a16="http://schemas.microsoft.com/office/drawing/2014/main" id="{A520E7A4-1EEB-4D29-A29A-C5C8AC18ADB7}"/>
            </a:ext>
          </a:extLst>
        </cdr:cNvPr>
        <cdr:cNvSpPr txBox="1"/>
      </cdr:nvSpPr>
      <cdr:spPr>
        <a:xfrm xmlns:a="http://schemas.openxmlformats.org/drawingml/2006/main">
          <a:off x="2192536" y="4108942"/>
          <a:ext cx="525724" cy="286234"/>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392610A-8907-4846-8BA1-7598A7ADA6BF}" type="TxLink">
            <a:rPr lang="en-US" sz="1050" b="0" i="0" u="none" strike="noStrike">
              <a:solidFill>
                <a:srgbClr val="BF9000"/>
              </a:solidFill>
              <a:latin typeface="Calibri"/>
              <a:cs typeface="Calibri"/>
            </a:rPr>
            <a:pPr/>
            <a:t>0 / 3</a:t>
          </a:fld>
          <a:endParaRPr lang="id-ID" sz="900">
            <a:solidFill>
              <a:srgbClr val="BF9000"/>
            </a:solidFill>
          </a:endParaRPr>
        </a:p>
      </cdr:txBody>
    </cdr:sp>
  </cdr:relSizeAnchor>
  <cdr:relSizeAnchor xmlns:cdr="http://schemas.openxmlformats.org/drawingml/2006/chartDrawing">
    <cdr:from>
      <cdr:x>0.22761</cdr:x>
      <cdr:y>0.31589</cdr:y>
    </cdr:from>
    <cdr:to>
      <cdr:x>0.29416</cdr:x>
      <cdr:y>0.37839</cdr:y>
    </cdr:to>
    <cdr:sp macro="" textlink="'HIDE-Nilai'!$G$16">
      <cdr:nvSpPr>
        <cdr:cNvPr id="9" name="TextBox 1">
          <a:extLst xmlns:a="http://schemas.openxmlformats.org/drawingml/2006/main">
            <a:ext uri="{FF2B5EF4-FFF2-40B4-BE49-F238E27FC236}">
              <a16:creationId xmlns:a16="http://schemas.microsoft.com/office/drawing/2014/main" id="{FED341DB-BCE3-4931-B11B-C30A51212A0E}"/>
            </a:ext>
          </a:extLst>
        </cdr:cNvPr>
        <cdr:cNvSpPr txBox="1"/>
      </cdr:nvSpPr>
      <cdr:spPr>
        <a:xfrm xmlns:a="http://schemas.openxmlformats.org/drawingml/2006/main">
          <a:off x="1798028" y="1446693"/>
          <a:ext cx="525724" cy="28623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86274CC-1E4F-4E91-8D8B-90E9C6138E41}" type="TxLink">
            <a:rPr lang="en-US" sz="1050" b="0" i="0" u="none" strike="noStrike">
              <a:solidFill>
                <a:schemeClr val="accent4">
                  <a:lumMod val="75000"/>
                </a:schemeClr>
              </a:solidFill>
              <a:latin typeface="Calibri"/>
              <a:cs typeface="Calibri"/>
            </a:rPr>
            <a:pPr/>
            <a:t>0 / 1</a:t>
          </a:fld>
          <a:endParaRPr lang="id-ID" sz="1050">
            <a:solidFill>
              <a:schemeClr val="accent4">
                <a:lumMod val="75000"/>
              </a:schemeClr>
            </a:solidFill>
          </a:endParaRPr>
        </a:p>
      </cdr:txBody>
    </cdr:sp>
  </cdr:relSizeAnchor>
  <cdr:relSizeAnchor xmlns:cdr="http://schemas.openxmlformats.org/drawingml/2006/chartDrawing">
    <cdr:from>
      <cdr:x>0.75823</cdr:x>
      <cdr:y>0.74375</cdr:y>
    </cdr:from>
    <cdr:to>
      <cdr:x>0.82478</cdr:x>
      <cdr:y>0.80625</cdr:y>
    </cdr:to>
    <cdr:sp macro="" textlink="'HIDE-Nilai'!$G$11">
      <cdr:nvSpPr>
        <cdr:cNvPr id="10" name="TextBox 1">
          <a:extLst xmlns:a="http://schemas.openxmlformats.org/drawingml/2006/main">
            <a:ext uri="{FF2B5EF4-FFF2-40B4-BE49-F238E27FC236}">
              <a16:creationId xmlns:a16="http://schemas.microsoft.com/office/drawing/2014/main" id="{A7D3A33E-8E52-4EBF-A0FA-4C3F1BE32A64}"/>
            </a:ext>
          </a:extLst>
        </cdr:cNvPr>
        <cdr:cNvSpPr txBox="1"/>
      </cdr:nvSpPr>
      <cdr:spPr>
        <a:xfrm xmlns:a="http://schemas.openxmlformats.org/drawingml/2006/main">
          <a:off x="5989820" y="3406182"/>
          <a:ext cx="525724" cy="28623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3EF4BB-B77D-49F6-A445-F06D6FE446FF}" type="TxLink">
            <a:rPr lang="en-US" sz="1000" b="0" i="0" u="none" strike="noStrike">
              <a:solidFill>
                <a:schemeClr val="accent4">
                  <a:lumMod val="75000"/>
                </a:schemeClr>
              </a:solidFill>
              <a:latin typeface="Calibri"/>
              <a:cs typeface="Calibri"/>
            </a:rPr>
            <a:pPr/>
            <a:t>0 / 1</a:t>
          </a:fld>
          <a:endParaRPr lang="id-ID" sz="800">
            <a:solidFill>
              <a:schemeClr val="accent4">
                <a:lumMod val="75000"/>
              </a:schemeClr>
            </a:solidFill>
          </a:endParaRPr>
        </a:p>
      </cdr:txBody>
    </cdr:sp>
  </cdr:relSizeAnchor>
  <cdr:relSizeAnchor xmlns:cdr="http://schemas.openxmlformats.org/drawingml/2006/chartDrawing">
    <cdr:from>
      <cdr:x>0.17012</cdr:x>
      <cdr:y>0.51442</cdr:y>
    </cdr:from>
    <cdr:to>
      <cdr:x>0.23667</cdr:x>
      <cdr:y>0.57692</cdr:y>
    </cdr:to>
    <cdr:sp macro="" textlink="'HIDE-Nilai'!$G$15">
      <cdr:nvSpPr>
        <cdr:cNvPr id="2" name="TextBox 1">
          <a:extLst xmlns:a="http://schemas.openxmlformats.org/drawingml/2006/main">
            <a:ext uri="{FF2B5EF4-FFF2-40B4-BE49-F238E27FC236}">
              <a16:creationId xmlns:a16="http://schemas.microsoft.com/office/drawing/2014/main" id="{99A9E618-C526-099A-363D-E6AF3F8184ED}"/>
            </a:ext>
          </a:extLst>
        </cdr:cNvPr>
        <cdr:cNvSpPr txBox="1"/>
      </cdr:nvSpPr>
      <cdr:spPr>
        <a:xfrm xmlns:a="http://schemas.openxmlformats.org/drawingml/2006/main">
          <a:off x="1343932" y="2355912"/>
          <a:ext cx="525724" cy="286233"/>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DC0A16D-1EEC-4219-829E-3C1D5BF31E89}" type="TxLink">
            <a:rPr lang="en-US" sz="1000" b="0" i="0" u="none" strike="noStrike">
              <a:solidFill>
                <a:schemeClr val="accent4">
                  <a:lumMod val="75000"/>
                </a:schemeClr>
              </a:solidFill>
              <a:latin typeface="Calibri"/>
              <a:cs typeface="Calibri"/>
            </a:rPr>
            <a:pPr/>
            <a:t>0 / 2</a:t>
          </a:fld>
          <a:endParaRPr lang="id-ID" sz="1050">
            <a:solidFill>
              <a:schemeClr val="accent4">
                <a:lumMod val="75000"/>
              </a:schemeClr>
            </a:solidFill>
          </a:endParaRPr>
        </a:p>
      </cdr:txBody>
    </cdr:sp>
  </cdr:relSizeAnchor>
  <cdr:relSizeAnchor xmlns:cdr="http://schemas.openxmlformats.org/drawingml/2006/chartDrawing">
    <cdr:from>
      <cdr:x>0.18374</cdr:x>
      <cdr:y>0.73968</cdr:y>
    </cdr:from>
    <cdr:to>
      <cdr:x>0.25029</cdr:x>
      <cdr:y>0.80218</cdr:y>
    </cdr:to>
    <cdr:sp macro="" textlink="'HIDE-Nilai'!$G$14">
      <cdr:nvSpPr>
        <cdr:cNvPr id="8" name="TextBox 1">
          <a:extLst xmlns:a="http://schemas.openxmlformats.org/drawingml/2006/main">
            <a:ext uri="{FF2B5EF4-FFF2-40B4-BE49-F238E27FC236}">
              <a16:creationId xmlns:a16="http://schemas.microsoft.com/office/drawing/2014/main" id="{010FE477-D2F3-5084-B85E-5264330B3CF4}"/>
            </a:ext>
          </a:extLst>
        </cdr:cNvPr>
        <cdr:cNvSpPr txBox="1"/>
      </cdr:nvSpPr>
      <cdr:spPr>
        <a:xfrm xmlns:a="http://schemas.openxmlformats.org/drawingml/2006/main">
          <a:off x="1451468" y="3387541"/>
          <a:ext cx="525725" cy="286234"/>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2E110FF-1115-40D3-981A-4E85FD0ECA57}" type="TxLink">
            <a:rPr lang="en-US" sz="1000" b="0" i="0" u="none" strike="noStrike">
              <a:solidFill>
                <a:srgbClr val="BF9000"/>
              </a:solidFill>
              <a:latin typeface="Calibri"/>
              <a:cs typeface="Calibri"/>
            </a:rPr>
            <a:pPr/>
            <a:t>0 / 2</a:t>
          </a:fld>
          <a:endParaRPr lang="id-ID" sz="900">
            <a:solidFill>
              <a:srgbClr val="BF9000"/>
            </a:solidFil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komin.fo/toolsasesmenpd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omments" Target="../comments1.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0FECF-D5A8-48B5-AB67-75213BAD8576}">
  <sheetPr codeName="Sheet1">
    <pageSetUpPr fitToPage="1"/>
  </sheetPr>
  <dimension ref="A1:XFC40"/>
  <sheetViews>
    <sheetView tabSelected="1" zoomScale="82" zoomScaleNormal="82" workbookViewId="0">
      <selection activeCell="E9" sqref="E9:F9"/>
    </sheetView>
  </sheetViews>
  <sheetFormatPr defaultColWidth="8.54296875" defaultRowHeight="14" zeroHeight="1" x14ac:dyDescent="0.35"/>
  <cols>
    <col min="1" max="1" width="2.90625" style="3" customWidth="1"/>
    <col min="2" max="2" width="2.54296875" style="3" customWidth="1"/>
    <col min="3" max="3" width="34.453125" style="7" customWidth="1"/>
    <col min="4" max="4" width="2.08984375" style="10" customWidth="1"/>
    <col min="5" max="5" width="9.54296875" style="3" customWidth="1"/>
    <col min="6" max="6" width="38.453125" style="3" customWidth="1"/>
    <col min="7" max="7" width="2.54296875" style="3" customWidth="1"/>
    <col min="8" max="8" width="2.90625" style="3" customWidth="1"/>
    <col min="9" max="9" width="8.54296875" style="89" hidden="1" customWidth="1"/>
    <col min="10" max="10" width="8.90625" style="89" hidden="1" customWidth="1"/>
    <col min="11" max="12" width="10.453125" style="89" hidden="1" customWidth="1"/>
    <col min="13" max="13" width="9" style="89" hidden="1" customWidth="1"/>
    <col min="14" max="14" width="8.90625" style="89" hidden="1" customWidth="1"/>
    <col min="15" max="15" width="10.08984375" style="89" hidden="1" customWidth="1"/>
    <col min="16" max="16" width="7.54296875" style="89" hidden="1" customWidth="1"/>
    <col min="17" max="5586" width="8.54296875" style="89" hidden="1" customWidth="1"/>
    <col min="5587" max="16383" width="8.54296875" style="3" hidden="1" customWidth="1"/>
    <col min="16384" max="16384" width="0" style="3" hidden="1" customWidth="1"/>
  </cols>
  <sheetData>
    <row r="1" spans="1:8" ht="17.399999999999999" customHeight="1" x14ac:dyDescent="0.35">
      <c r="A1" s="1"/>
      <c r="B1" s="1"/>
      <c r="C1" s="2"/>
      <c r="D1" s="8"/>
      <c r="E1" s="1"/>
      <c r="F1" s="1"/>
      <c r="G1" s="1"/>
      <c r="H1" s="1"/>
    </row>
    <row r="2" spans="1:8" ht="11.4" customHeight="1" x14ac:dyDescent="0.35">
      <c r="A2" s="1"/>
      <c r="B2" s="49"/>
      <c r="C2" s="50"/>
      <c r="D2" s="51"/>
      <c r="E2" s="188"/>
      <c r="F2" s="188"/>
      <c r="G2" s="49"/>
      <c r="H2" s="1"/>
    </row>
    <row r="3" spans="1:8" ht="7.5" customHeight="1" x14ac:dyDescent="0.35">
      <c r="A3" s="1"/>
      <c r="B3" s="49"/>
      <c r="C3" s="50"/>
      <c r="D3" s="51"/>
      <c r="E3" s="188"/>
      <c r="F3" s="188"/>
      <c r="G3" s="49"/>
      <c r="H3" s="1"/>
    </row>
    <row r="4" spans="1:8" ht="36" customHeight="1" x14ac:dyDescent="0.35">
      <c r="A4" s="1"/>
      <c r="B4" s="49"/>
      <c r="C4" s="190" t="s">
        <v>0</v>
      </c>
      <c r="D4" s="191"/>
      <c r="E4" s="191"/>
      <c r="F4" s="191"/>
      <c r="G4" s="49"/>
      <c r="H4" s="1"/>
    </row>
    <row r="5" spans="1:8" ht="6.9" customHeight="1" x14ac:dyDescent="0.35">
      <c r="A5" s="1"/>
      <c r="B5" s="49"/>
      <c r="C5" s="52"/>
      <c r="D5" s="53"/>
      <c r="E5" s="189"/>
      <c r="F5" s="189"/>
      <c r="G5" s="49"/>
      <c r="H5" s="1"/>
    </row>
    <row r="6" spans="1:8" ht="8.4" customHeight="1" x14ac:dyDescent="0.35">
      <c r="A6" s="1"/>
      <c r="B6" s="49"/>
      <c r="C6" s="52"/>
      <c r="D6" s="53"/>
      <c r="E6" s="189"/>
      <c r="F6" s="189"/>
      <c r="G6" s="49"/>
      <c r="H6" s="1"/>
    </row>
    <row r="7" spans="1:8" ht="20.25" customHeight="1" x14ac:dyDescent="0.35">
      <c r="A7" s="1"/>
      <c r="B7" s="49"/>
      <c r="C7" s="183" t="s">
        <v>0</v>
      </c>
      <c r="D7" s="183"/>
      <c r="E7" s="183"/>
      <c r="F7" s="183"/>
      <c r="G7" s="49"/>
      <c r="H7" s="1"/>
    </row>
    <row r="8" spans="1:8" ht="7.5" customHeight="1" x14ac:dyDescent="0.35">
      <c r="A8" s="1"/>
      <c r="B8" s="49"/>
      <c r="C8" s="58"/>
      <c r="D8" s="59"/>
      <c r="E8" s="178"/>
      <c r="F8" s="178"/>
      <c r="G8" s="49"/>
      <c r="H8" s="1"/>
    </row>
    <row r="9" spans="1:8" ht="15.5" x14ac:dyDescent="0.35">
      <c r="A9" s="1"/>
      <c r="B9" s="49"/>
      <c r="C9" s="60" t="s">
        <v>126</v>
      </c>
      <c r="D9" s="64" t="s">
        <v>1</v>
      </c>
      <c r="E9" s="192"/>
      <c r="F9" s="193"/>
      <c r="G9" s="49"/>
      <c r="H9" s="1"/>
    </row>
    <row r="10" spans="1:8" ht="52.5" customHeight="1" x14ac:dyDescent="0.35">
      <c r="A10" s="1"/>
      <c r="B10" s="49"/>
      <c r="C10" s="65" t="s">
        <v>2</v>
      </c>
      <c r="D10" s="66" t="s">
        <v>1</v>
      </c>
      <c r="E10" s="194"/>
      <c r="F10" s="195"/>
      <c r="G10" s="49"/>
      <c r="H10" s="1"/>
    </row>
    <row r="11" spans="1:8" ht="15.5" x14ac:dyDescent="0.35">
      <c r="A11" s="1"/>
      <c r="B11" s="49"/>
      <c r="C11" s="60" t="s">
        <v>3</v>
      </c>
      <c r="D11" s="64" t="s">
        <v>1</v>
      </c>
      <c r="E11" s="194"/>
      <c r="F11" s="195"/>
      <c r="G11" s="49"/>
      <c r="H11" s="1"/>
    </row>
    <row r="12" spans="1:8" ht="15.5" x14ac:dyDescent="0.35">
      <c r="A12" s="1"/>
      <c r="B12" s="49"/>
      <c r="C12" s="60" t="s">
        <v>4</v>
      </c>
      <c r="D12" s="64" t="s">
        <v>1</v>
      </c>
      <c r="E12" s="177"/>
      <c r="F12" s="177"/>
      <c r="G12" s="49"/>
      <c r="H12" s="1"/>
    </row>
    <row r="13" spans="1:8" ht="24.65" customHeight="1" x14ac:dyDescent="0.35">
      <c r="A13" s="1"/>
      <c r="B13" s="49"/>
      <c r="C13" s="55"/>
      <c r="D13" s="56"/>
      <c r="E13" s="196"/>
      <c r="F13" s="196"/>
      <c r="G13" s="49"/>
      <c r="H13" s="1"/>
    </row>
    <row r="14" spans="1:8" ht="20.25" customHeight="1" x14ac:dyDescent="0.35">
      <c r="A14" s="1"/>
      <c r="B14" s="49"/>
      <c r="C14" s="183" t="s">
        <v>5</v>
      </c>
      <c r="D14" s="183"/>
      <c r="E14" s="183"/>
      <c r="F14" s="183"/>
      <c r="G14" s="49"/>
      <c r="H14" s="1"/>
    </row>
    <row r="15" spans="1:8" ht="8.15" customHeight="1" x14ac:dyDescent="0.35">
      <c r="A15" s="1"/>
      <c r="B15" s="49"/>
      <c r="C15" s="58"/>
      <c r="D15" s="59"/>
      <c r="E15" s="178"/>
      <c r="F15" s="178"/>
      <c r="G15" s="49"/>
      <c r="H15" s="1"/>
    </row>
    <row r="16" spans="1:8" ht="15.5" x14ac:dyDescent="0.35">
      <c r="A16" s="1"/>
      <c r="B16" s="49"/>
      <c r="C16" s="55" t="s">
        <v>6</v>
      </c>
      <c r="D16" s="56" t="s">
        <v>1</v>
      </c>
      <c r="E16" s="177"/>
      <c r="F16" s="177"/>
      <c r="G16" s="54"/>
      <c r="H16" s="1"/>
    </row>
    <row r="17" spans="1:17" ht="15.5" customHeight="1" x14ac:dyDescent="0.35">
      <c r="A17" s="1"/>
      <c r="B17" s="49"/>
      <c r="C17" s="55" t="s">
        <v>127</v>
      </c>
      <c r="D17" s="56" t="s">
        <v>1</v>
      </c>
      <c r="E17" s="194"/>
      <c r="F17" s="195"/>
      <c r="G17" s="54"/>
      <c r="H17" s="1"/>
    </row>
    <row r="18" spans="1:17" ht="15.5" customHeight="1" x14ac:dyDescent="0.35">
      <c r="A18" s="1"/>
      <c r="B18" s="49"/>
      <c r="C18" s="63" t="s">
        <v>128</v>
      </c>
      <c r="D18" s="61" t="s">
        <v>1</v>
      </c>
      <c r="E18" s="177"/>
      <c r="F18" s="177"/>
      <c r="G18" s="54"/>
      <c r="H18" s="1"/>
    </row>
    <row r="19" spans="1:17" ht="15.5" x14ac:dyDescent="0.35">
      <c r="A19" s="1"/>
      <c r="B19" s="49"/>
      <c r="C19" s="55" t="s">
        <v>7</v>
      </c>
      <c r="D19" s="56" t="s">
        <v>1</v>
      </c>
      <c r="E19" s="177"/>
      <c r="F19" s="177"/>
      <c r="G19" s="54"/>
      <c r="H19" s="1"/>
    </row>
    <row r="20" spans="1:17" ht="15.5" x14ac:dyDescent="0.35">
      <c r="A20" s="1"/>
      <c r="B20" s="49"/>
      <c r="C20" s="60" t="s">
        <v>101</v>
      </c>
      <c r="D20" s="56" t="s">
        <v>1</v>
      </c>
      <c r="E20" s="177"/>
      <c r="F20" s="177"/>
      <c r="G20" s="54"/>
      <c r="H20" s="1"/>
    </row>
    <row r="21" spans="1:17" ht="119.15" customHeight="1" x14ac:dyDescent="0.35">
      <c r="A21" s="1"/>
      <c r="B21" s="49"/>
      <c r="C21" s="62" t="s">
        <v>8</v>
      </c>
      <c r="D21" s="61" t="s">
        <v>1</v>
      </c>
      <c r="E21" s="177"/>
      <c r="F21" s="177"/>
      <c r="G21" s="54"/>
      <c r="H21" s="1"/>
    </row>
    <row r="22" spans="1:17" ht="68.400000000000006" customHeight="1" x14ac:dyDescent="0.35">
      <c r="A22" s="1"/>
      <c r="B22" s="49"/>
      <c r="C22" s="62" t="s">
        <v>9</v>
      </c>
      <c r="D22" s="61" t="s">
        <v>1</v>
      </c>
      <c r="E22" s="177"/>
      <c r="F22" s="177"/>
      <c r="G22" s="54"/>
      <c r="H22" s="1"/>
    </row>
    <row r="23" spans="1:17" ht="95.15" customHeight="1" x14ac:dyDescent="0.35">
      <c r="A23" s="1"/>
      <c r="B23" s="49"/>
      <c r="C23" s="63" t="s">
        <v>10</v>
      </c>
      <c r="D23" s="61" t="s">
        <v>1</v>
      </c>
      <c r="E23" s="177"/>
      <c r="F23" s="177"/>
      <c r="G23" s="54"/>
      <c r="H23" s="1"/>
    </row>
    <row r="24" spans="1:17" ht="21.65" customHeight="1" x14ac:dyDescent="0.35">
      <c r="A24" s="1"/>
      <c r="B24" s="49"/>
      <c r="C24" s="198" t="s">
        <v>11</v>
      </c>
      <c r="D24" s="199" t="s">
        <v>1</v>
      </c>
      <c r="E24" s="197"/>
      <c r="F24" s="197"/>
      <c r="G24" s="54"/>
      <c r="H24" s="1"/>
      <c r="J24" s="89" t="s">
        <v>12</v>
      </c>
      <c r="K24" s="89" t="s">
        <v>13</v>
      </c>
      <c r="N24" s="89" t="s">
        <v>14</v>
      </c>
      <c r="O24" s="89" t="s">
        <v>15</v>
      </c>
      <c r="P24" s="89" t="s">
        <v>16</v>
      </c>
    </row>
    <row r="25" spans="1:17" ht="19.5" customHeight="1" x14ac:dyDescent="0.35">
      <c r="A25" s="1"/>
      <c r="B25" s="49"/>
      <c r="C25" s="198"/>
      <c r="D25" s="199"/>
      <c r="E25" s="200"/>
      <c r="F25" s="201"/>
      <c r="G25" s="54"/>
      <c r="H25" s="1"/>
      <c r="J25" s="90" t="b">
        <v>0</v>
      </c>
      <c r="K25" s="90" t="b">
        <v>0</v>
      </c>
      <c r="L25" s="90">
        <f>COUNTIF(J25:K25,"TRUE")</f>
        <v>0</v>
      </c>
      <c r="N25" s="90" t="b">
        <v>0</v>
      </c>
      <c r="O25" s="90" t="b">
        <v>0</v>
      </c>
      <c r="P25" s="90" t="b">
        <v>0</v>
      </c>
      <c r="Q25" s="90">
        <f>COUNTIF(N25:P25,"TRUE")</f>
        <v>0</v>
      </c>
    </row>
    <row r="26" spans="1:17" ht="72.900000000000006" customHeight="1" x14ac:dyDescent="0.35">
      <c r="A26" s="1"/>
      <c r="B26" s="49"/>
      <c r="C26" s="198"/>
      <c r="D26" s="199"/>
      <c r="E26" s="177" t="s">
        <v>17</v>
      </c>
      <c r="F26" s="177"/>
      <c r="G26" s="54"/>
      <c r="H26" s="1"/>
    </row>
    <row r="27" spans="1:17" ht="24.65" customHeight="1" x14ac:dyDescent="0.35">
      <c r="A27" s="1"/>
      <c r="B27" s="49"/>
      <c r="C27" s="55"/>
      <c r="D27" s="56"/>
      <c r="E27" s="179"/>
      <c r="F27" s="179"/>
      <c r="G27" s="54"/>
      <c r="H27" s="1"/>
    </row>
    <row r="28" spans="1:17" ht="20.25" customHeight="1" x14ac:dyDescent="0.35">
      <c r="A28" s="1"/>
      <c r="B28" s="49"/>
      <c r="C28" s="183" t="s">
        <v>18</v>
      </c>
      <c r="D28" s="183"/>
      <c r="E28" s="184"/>
      <c r="F28" s="183"/>
      <c r="G28" s="49"/>
      <c r="H28" s="1"/>
    </row>
    <row r="29" spans="1:17" ht="8.15" customHeight="1" x14ac:dyDescent="0.35">
      <c r="A29" s="1"/>
      <c r="B29" s="49"/>
      <c r="C29" s="58"/>
      <c r="D29" s="59"/>
      <c r="E29" s="178"/>
      <c r="F29" s="178"/>
      <c r="G29" s="49"/>
      <c r="H29" s="1"/>
    </row>
    <row r="30" spans="1:17" ht="15.5" x14ac:dyDescent="0.35">
      <c r="A30" s="1"/>
      <c r="B30" s="49"/>
      <c r="C30" s="55" t="s">
        <v>19</v>
      </c>
      <c r="D30" s="56" t="s">
        <v>1</v>
      </c>
      <c r="E30" s="185"/>
      <c r="F30" s="185"/>
      <c r="G30" s="54"/>
      <c r="H30" s="1"/>
    </row>
    <row r="31" spans="1:17" ht="15.5" x14ac:dyDescent="0.35">
      <c r="A31" s="1"/>
      <c r="B31" s="49"/>
      <c r="C31" s="55" t="s">
        <v>20</v>
      </c>
      <c r="D31" s="56" t="s">
        <v>1</v>
      </c>
      <c r="E31" s="175"/>
      <c r="F31" s="126" t="str">
        <f xml:space="preserve"> IF(E31="Lainnya :", "Masukkan Jabatan Anda", "")</f>
        <v/>
      </c>
      <c r="G31" s="54"/>
      <c r="H31" s="1"/>
    </row>
    <row r="32" spans="1:17" ht="15.5" x14ac:dyDescent="0.35">
      <c r="A32" s="1"/>
      <c r="B32" s="49"/>
      <c r="C32" s="55" t="s">
        <v>21</v>
      </c>
      <c r="D32" s="56" t="s">
        <v>1</v>
      </c>
      <c r="E32" s="186"/>
      <c r="F32" s="186"/>
      <c r="G32" s="54"/>
      <c r="H32" s="1"/>
    </row>
    <row r="33" spans="1:8" ht="15.5" x14ac:dyDescent="0.35">
      <c r="A33" s="1"/>
      <c r="B33" s="49"/>
      <c r="C33" s="55"/>
      <c r="D33" s="56"/>
      <c r="E33" s="180"/>
      <c r="F33" s="180"/>
      <c r="G33" s="54"/>
      <c r="H33" s="1"/>
    </row>
    <row r="34" spans="1:8" ht="15.5" x14ac:dyDescent="0.35">
      <c r="A34" s="1"/>
      <c r="B34" s="49"/>
      <c r="C34" s="57" t="s">
        <v>22</v>
      </c>
      <c r="D34" s="56"/>
      <c r="E34" s="181" t="s">
        <v>23</v>
      </c>
      <c r="F34" s="181"/>
      <c r="G34" s="54"/>
      <c r="H34" s="1"/>
    </row>
    <row r="35" spans="1:8" ht="15.5" x14ac:dyDescent="0.35">
      <c r="A35" s="1"/>
      <c r="B35" s="49"/>
      <c r="C35" s="55"/>
      <c r="D35" s="56"/>
      <c r="E35" s="178"/>
      <c r="F35" s="178"/>
      <c r="G35" s="49"/>
      <c r="H35" s="1"/>
    </row>
    <row r="36" spans="1:8" ht="69" customHeight="1" x14ac:dyDescent="0.35">
      <c r="A36" s="1"/>
      <c r="B36" s="49"/>
      <c r="C36" s="182" t="s">
        <v>96</v>
      </c>
      <c r="D36" s="182"/>
      <c r="E36" s="182"/>
      <c r="F36" s="182"/>
      <c r="G36" s="49"/>
      <c r="H36" s="1"/>
    </row>
    <row r="37" spans="1:8" ht="15" customHeight="1" x14ac:dyDescent="0.35">
      <c r="A37" s="1"/>
      <c r="B37" s="91"/>
      <c r="C37" s="92"/>
      <c r="D37" s="93"/>
      <c r="E37" s="91"/>
      <c r="F37" s="91"/>
      <c r="G37" s="91"/>
      <c r="H37" s="1"/>
    </row>
    <row r="38" spans="1:8" ht="40.5" customHeight="1" x14ac:dyDescent="0.35">
      <c r="A38" s="1"/>
      <c r="B38" s="91"/>
      <c r="C38" s="187"/>
      <c r="D38" s="187"/>
      <c r="E38" s="187"/>
      <c r="F38" s="187"/>
      <c r="G38" s="91"/>
      <c r="H38" s="1"/>
    </row>
    <row r="39" spans="1:8" ht="15.5" x14ac:dyDescent="0.35">
      <c r="A39" s="1"/>
      <c r="B39" s="91"/>
      <c r="C39" s="176"/>
      <c r="D39" s="176"/>
      <c r="E39" s="176"/>
      <c r="F39" s="176"/>
      <c r="G39" s="91"/>
      <c r="H39" s="1"/>
    </row>
    <row r="40" spans="1:8" ht="15" customHeight="1" x14ac:dyDescent="0.35">
      <c r="A40" s="1"/>
      <c r="B40" s="1"/>
      <c r="C40" s="2"/>
      <c r="D40" s="8"/>
      <c r="E40" s="1"/>
      <c r="F40" s="1"/>
      <c r="G40" s="1"/>
      <c r="H40" s="1"/>
    </row>
  </sheetData>
  <sheetProtection algorithmName="SHA-512" hashValue="kXyftXsVlmtPo/YWo0kG9Nj2WZ56ylLqu++79LZELosDmQoEFCCsPz+6gdqve7DAIqj8zRfpnjV0whjcfbq03Q==" saltValue="zb7GqZwK7TTmk2gwSDeLfw==" spinCount="100000" sheet="1" objects="1" scenarios="1"/>
  <mergeCells count="38">
    <mergeCell ref="E23:F23"/>
    <mergeCell ref="E22:F22"/>
    <mergeCell ref="E24:F24"/>
    <mergeCell ref="E20:F20"/>
    <mergeCell ref="C24:C26"/>
    <mergeCell ref="D24:D26"/>
    <mergeCell ref="E25:F25"/>
    <mergeCell ref="E9:F9"/>
    <mergeCell ref="E10:F10"/>
    <mergeCell ref="E21:F21"/>
    <mergeCell ref="E16:F16"/>
    <mergeCell ref="E18:F18"/>
    <mergeCell ref="E19:F19"/>
    <mergeCell ref="E13:F13"/>
    <mergeCell ref="E15:F15"/>
    <mergeCell ref="E12:F12"/>
    <mergeCell ref="E11:F11"/>
    <mergeCell ref="C14:F14"/>
    <mergeCell ref="E17:F17"/>
    <mergeCell ref="E2:F2"/>
    <mergeCell ref="E3:F3"/>
    <mergeCell ref="E5:F5"/>
    <mergeCell ref="E6:F6"/>
    <mergeCell ref="E8:F8"/>
    <mergeCell ref="C4:F4"/>
    <mergeCell ref="C7:F7"/>
    <mergeCell ref="C39:F39"/>
    <mergeCell ref="E26:F26"/>
    <mergeCell ref="E35:F35"/>
    <mergeCell ref="E27:F27"/>
    <mergeCell ref="E29:F29"/>
    <mergeCell ref="E33:F33"/>
    <mergeCell ref="E34:F34"/>
    <mergeCell ref="C36:F36"/>
    <mergeCell ref="C28:F28"/>
    <mergeCell ref="E30:F30"/>
    <mergeCell ref="E32:F32"/>
    <mergeCell ref="C38:F38"/>
  </mergeCells>
  <conditionalFormatting sqref="E32:F32">
    <cfRule type="expression" dxfId="91" priority="38">
      <formula>$E32 &lt;&gt;""</formula>
    </cfRule>
  </conditionalFormatting>
  <conditionalFormatting sqref="F31">
    <cfRule type="expression" dxfId="90" priority="10">
      <formula>AND($E$31="Lainnya :", OR($F$31 = "", $F$31="Masukkan Jabatan Anda"))</formula>
    </cfRule>
    <cfRule type="expression" dxfId="89" priority="31">
      <formula>$E$31 &lt;&gt; "Lainnya :"</formula>
    </cfRule>
  </conditionalFormatting>
  <conditionalFormatting sqref="E30:F30">
    <cfRule type="expression" dxfId="88" priority="29">
      <formula>$E30 &lt;&gt;""</formula>
    </cfRule>
  </conditionalFormatting>
  <conditionalFormatting sqref="E10:F10">
    <cfRule type="expression" dxfId="87" priority="22">
      <formula xml:space="preserve"> $E$10 &lt;&gt; ""</formula>
    </cfRule>
  </conditionalFormatting>
  <conditionalFormatting sqref="E11:F11">
    <cfRule type="expression" dxfId="86" priority="21">
      <formula xml:space="preserve"> $E$11 &lt;&gt; ""</formula>
    </cfRule>
  </conditionalFormatting>
  <conditionalFormatting sqref="E12:F12">
    <cfRule type="expression" dxfId="85" priority="20">
      <formula xml:space="preserve"> $E$12 &lt;&gt; ""</formula>
    </cfRule>
  </conditionalFormatting>
  <conditionalFormatting sqref="E18:F18">
    <cfRule type="expression" dxfId="84" priority="19">
      <formula xml:space="preserve"> $E$18&lt;&gt; ""</formula>
    </cfRule>
  </conditionalFormatting>
  <conditionalFormatting sqref="E19:F19">
    <cfRule type="expression" dxfId="83" priority="17">
      <formula xml:space="preserve"> $E$19&lt;&gt; ""</formula>
    </cfRule>
  </conditionalFormatting>
  <conditionalFormatting sqref="E20:F20">
    <cfRule type="expression" dxfId="82" priority="16">
      <formula xml:space="preserve"> $E$20&lt;&gt; ""</formula>
    </cfRule>
  </conditionalFormatting>
  <conditionalFormatting sqref="E21:F21">
    <cfRule type="expression" dxfId="81" priority="15">
      <formula xml:space="preserve"> $E$21&lt;&gt; ""</formula>
    </cfRule>
  </conditionalFormatting>
  <conditionalFormatting sqref="E22:F22">
    <cfRule type="expression" dxfId="80" priority="14">
      <formula xml:space="preserve"> $E$22&lt;&gt; ""</formula>
    </cfRule>
  </conditionalFormatting>
  <conditionalFormatting sqref="E23:F23">
    <cfRule type="expression" dxfId="79" priority="13">
      <formula xml:space="preserve"> $E$23&lt;&gt; ""</formula>
    </cfRule>
  </conditionalFormatting>
  <conditionalFormatting sqref="E24:F24">
    <cfRule type="expression" dxfId="78" priority="8">
      <formula>$L$25 &lt;&gt; 0</formula>
    </cfRule>
  </conditionalFormatting>
  <conditionalFormatting sqref="E25:F25">
    <cfRule type="expression" dxfId="77" priority="7">
      <formula>$Q$25 &lt;&gt; 0</formula>
    </cfRule>
  </conditionalFormatting>
  <conditionalFormatting sqref="E31">
    <cfRule type="expression" dxfId="76" priority="4">
      <formula>$E$31 = ""</formula>
    </cfRule>
    <cfRule type="expression" dxfId="75" priority="6">
      <formula>$E$31 &lt;&gt; ""</formula>
    </cfRule>
  </conditionalFormatting>
  <conditionalFormatting sqref="E26:F26">
    <cfRule type="expression" dxfId="74" priority="5">
      <formula>AND($E$26 &lt;&gt; "", $E$26 &lt;&gt;"Jelaskan")</formula>
    </cfRule>
  </conditionalFormatting>
  <conditionalFormatting sqref="E16:F16 E17">
    <cfRule type="expression" dxfId="73" priority="3">
      <formula xml:space="preserve"> $E$16&lt;&gt; ""</formula>
    </cfRule>
  </conditionalFormatting>
  <conditionalFormatting sqref="E9:F9">
    <cfRule type="expression" dxfId="72" priority="1">
      <formula xml:space="preserve"> $E$9 &lt;&gt; ""</formula>
    </cfRule>
  </conditionalFormatting>
  <dataValidations count="1">
    <dataValidation type="list" allowBlank="1" showInputMessage="1" showErrorMessage="1" sqref="E31" xr:uid="{690C734E-77E8-436A-8BC6-48E2C7E7B375}">
      <formula1>"DPO,Lainnya :"</formula1>
    </dataValidation>
  </dataValidations>
  <hyperlinks>
    <hyperlink ref="E34:F34" r:id="rId1" display="Lihat Panduan Pengisian di sini" xr:uid="{7E4945F5-F4E6-40A1-BCA7-FC1E8977081F}"/>
  </hyperlinks>
  <printOptions horizontalCentered="1"/>
  <pageMargins left="0.39370078740157483" right="0.39370078740157483" top="0.39370078740157483" bottom="0.39370078740157483" header="0.31496062992125984" footer="0.31496062992125984"/>
  <pageSetup paperSize="9" scale="8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Button17_Click">
                <anchor moveWithCells="1" sizeWithCells="1">
                  <from>
                    <xdr:col>3</xdr:col>
                    <xdr:colOff>6350</xdr:colOff>
                    <xdr:row>37</xdr:row>
                    <xdr:rowOff>0</xdr:rowOff>
                  </from>
                  <to>
                    <xdr:col>5</xdr:col>
                    <xdr:colOff>615950</xdr:colOff>
                    <xdr:row>37</xdr:row>
                    <xdr:rowOff>495300</xdr:rowOff>
                  </to>
                </anchor>
              </controlPr>
            </control>
          </mc:Choice>
        </mc:AlternateContent>
        <mc:AlternateContent xmlns:mc="http://schemas.openxmlformats.org/markup-compatibility/2006">
          <mc:Choice Requires="x14">
            <control shapeId="1046" r:id="rId6" name="Check Box 22">
              <controlPr defaultSize="0" autoFill="0" autoLine="0" autoPict="0">
                <anchor moveWithCells="1">
                  <from>
                    <xdr:col>4</xdr:col>
                    <xdr:colOff>31750</xdr:colOff>
                    <xdr:row>23</xdr:row>
                    <xdr:rowOff>38100</xdr:rowOff>
                  </from>
                  <to>
                    <xdr:col>5</xdr:col>
                    <xdr:colOff>177800</xdr:colOff>
                    <xdr:row>23</xdr:row>
                    <xdr:rowOff>260350</xdr:rowOff>
                  </to>
                </anchor>
              </controlPr>
            </control>
          </mc:Choice>
        </mc:AlternateContent>
        <mc:AlternateContent xmlns:mc="http://schemas.openxmlformats.org/markup-compatibility/2006">
          <mc:Choice Requires="x14">
            <control shapeId="1047" r:id="rId7" name="Check Box 23">
              <controlPr defaultSize="0" autoFill="0" autoLine="0" autoPict="0">
                <anchor moveWithCells="1">
                  <from>
                    <xdr:col>5</xdr:col>
                    <xdr:colOff>374650</xdr:colOff>
                    <xdr:row>23</xdr:row>
                    <xdr:rowOff>38100</xdr:rowOff>
                  </from>
                  <to>
                    <xdr:col>5</xdr:col>
                    <xdr:colOff>1149350</xdr:colOff>
                    <xdr:row>23</xdr:row>
                    <xdr:rowOff>260350</xdr:rowOff>
                  </to>
                </anchor>
              </controlPr>
            </control>
          </mc:Choice>
        </mc:AlternateContent>
        <mc:AlternateContent xmlns:mc="http://schemas.openxmlformats.org/markup-compatibility/2006">
          <mc:Choice Requires="x14">
            <control shapeId="1048" r:id="rId8" name="Check Box 24">
              <controlPr defaultSize="0" autoFill="0" autoLine="0" autoPict="0">
                <anchor moveWithCells="1">
                  <from>
                    <xdr:col>4</xdr:col>
                    <xdr:colOff>31750</xdr:colOff>
                    <xdr:row>24</xdr:row>
                    <xdr:rowOff>6350</xdr:rowOff>
                  </from>
                  <to>
                    <xdr:col>5</xdr:col>
                    <xdr:colOff>152400</xdr:colOff>
                    <xdr:row>24</xdr:row>
                    <xdr:rowOff>228600</xdr:rowOff>
                  </to>
                </anchor>
              </controlPr>
            </control>
          </mc:Choice>
        </mc:AlternateContent>
        <mc:AlternateContent xmlns:mc="http://schemas.openxmlformats.org/markup-compatibility/2006">
          <mc:Choice Requires="x14">
            <control shapeId="1049" r:id="rId9" name="Check Box 25">
              <controlPr defaultSize="0" autoFill="0" autoLine="0" autoPict="0">
                <anchor moveWithCells="1">
                  <from>
                    <xdr:col>5</xdr:col>
                    <xdr:colOff>381000</xdr:colOff>
                    <xdr:row>24</xdr:row>
                    <xdr:rowOff>6350</xdr:rowOff>
                  </from>
                  <to>
                    <xdr:col>5</xdr:col>
                    <xdr:colOff>1174750</xdr:colOff>
                    <xdr:row>24</xdr:row>
                    <xdr:rowOff>228600</xdr:rowOff>
                  </to>
                </anchor>
              </controlPr>
            </control>
          </mc:Choice>
        </mc:AlternateContent>
        <mc:AlternateContent xmlns:mc="http://schemas.openxmlformats.org/markup-compatibility/2006">
          <mc:Choice Requires="x14">
            <control shapeId="1050" r:id="rId10" name="Check Box 26">
              <controlPr defaultSize="0" autoFill="0" autoLine="0" autoPict="0">
                <anchor moveWithCells="1">
                  <from>
                    <xdr:col>5</xdr:col>
                    <xdr:colOff>1377950</xdr:colOff>
                    <xdr:row>24</xdr:row>
                    <xdr:rowOff>6350</xdr:rowOff>
                  </from>
                  <to>
                    <xdr:col>5</xdr:col>
                    <xdr:colOff>2171700</xdr:colOff>
                    <xdr:row>24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C4DF4-E9CF-4996-8A41-6C896C7F48B8}">
  <sheetPr codeName="Sheet2">
    <pageSetUpPr fitToPage="1"/>
  </sheetPr>
  <dimension ref="A1:P57"/>
  <sheetViews>
    <sheetView zoomScale="81" zoomScaleNormal="100" workbookViewId="0">
      <pane ySplit="5" topLeftCell="A6" activePane="bottomLeft" state="frozen"/>
      <selection activeCell="G7" sqref="G7"/>
      <selection pane="bottomLeft" activeCell="G7" sqref="G7"/>
    </sheetView>
  </sheetViews>
  <sheetFormatPr defaultColWidth="0" defaultRowHeight="32.25" customHeight="1" zeroHeight="1" x14ac:dyDescent="0.35"/>
  <cols>
    <col min="1" max="1" width="2.90625" style="28" customWidth="1"/>
    <col min="2" max="2" width="3.54296875" style="28" customWidth="1"/>
    <col min="3" max="3" width="6.54296875" style="29" customWidth="1"/>
    <col min="4" max="4" width="65.90625" style="28" customWidth="1"/>
    <col min="5" max="5" width="50.54296875" style="28" hidden="1" customWidth="1"/>
    <col min="6" max="6" width="22.453125" style="28" hidden="1" customWidth="1"/>
    <col min="7" max="7" width="9.90625" style="29" customWidth="1"/>
    <col min="8" max="8" width="6.453125" style="29" hidden="1" customWidth="1"/>
    <col min="9" max="9" width="5.453125" style="29" hidden="1" customWidth="1"/>
    <col min="10" max="10" width="15.54296875" style="29" hidden="1" customWidth="1"/>
    <col min="11" max="11" width="82.6328125" style="28" hidden="1" customWidth="1"/>
    <col min="12" max="12" width="3.54296875" style="28" customWidth="1"/>
    <col min="13" max="13" width="2.6328125" style="28" customWidth="1"/>
    <col min="14" max="14" width="5.08984375" style="28" hidden="1" customWidth="1"/>
    <col min="15" max="15" width="22.6328125" style="28" hidden="1" customWidth="1"/>
    <col min="16" max="16384" width="41.453125" style="28" hidden="1"/>
  </cols>
  <sheetData>
    <row r="1" spans="1:16" ht="15" customHeight="1" x14ac:dyDescent="0.35">
      <c r="A1" s="26"/>
      <c r="B1" s="26"/>
      <c r="C1" s="27"/>
      <c r="D1" s="26"/>
      <c r="E1" s="26"/>
      <c r="F1" s="26"/>
      <c r="G1" s="27"/>
      <c r="H1" s="27"/>
      <c r="I1" s="27"/>
      <c r="J1" s="27"/>
      <c r="K1" s="27"/>
      <c r="L1" s="26"/>
      <c r="M1" s="26"/>
    </row>
    <row r="2" spans="1:16" ht="15.9" customHeight="1" x14ac:dyDescent="0.35">
      <c r="A2" s="26"/>
      <c r="B2" s="68"/>
      <c r="C2" s="69"/>
      <c r="D2" s="68"/>
      <c r="E2" s="68"/>
      <c r="F2" s="68"/>
      <c r="G2" s="69"/>
      <c r="H2" s="69"/>
      <c r="I2" s="69"/>
      <c r="J2" s="69"/>
      <c r="K2" s="69"/>
      <c r="L2" s="68"/>
      <c r="M2" s="26"/>
    </row>
    <row r="3" spans="1:16" ht="20.149999999999999" customHeight="1" x14ac:dyDescent="0.35">
      <c r="A3" s="26"/>
      <c r="B3" s="68"/>
      <c r="C3" s="217" t="s">
        <v>24</v>
      </c>
      <c r="D3" s="218"/>
      <c r="E3" s="218"/>
      <c r="F3" s="218"/>
      <c r="G3" s="219"/>
      <c r="H3" s="88"/>
      <c r="I3" s="88"/>
      <c r="J3" s="88"/>
      <c r="K3" s="88"/>
      <c r="L3" s="88"/>
      <c r="M3" s="26"/>
    </row>
    <row r="4" spans="1:16" ht="14.4" customHeight="1" x14ac:dyDescent="0.35">
      <c r="A4" s="26"/>
      <c r="B4" s="68"/>
      <c r="C4" s="79"/>
      <c r="D4" s="84"/>
      <c r="E4" s="85"/>
      <c r="F4" s="85"/>
      <c r="G4" s="79"/>
      <c r="H4" s="69"/>
      <c r="I4" s="69"/>
      <c r="J4" s="69"/>
      <c r="K4" s="69"/>
      <c r="L4" s="68"/>
      <c r="M4" s="26"/>
    </row>
    <row r="5" spans="1:16" s="29" customFormat="1" ht="27.9" customHeight="1" x14ac:dyDescent="0.35">
      <c r="A5" s="26"/>
      <c r="B5" s="72"/>
      <c r="C5" s="34" t="s">
        <v>25</v>
      </c>
      <c r="D5" s="34" t="s">
        <v>26</v>
      </c>
      <c r="E5" s="34" t="s">
        <v>27</v>
      </c>
      <c r="F5" s="34" t="s">
        <v>28</v>
      </c>
      <c r="G5" s="34" t="s">
        <v>29</v>
      </c>
      <c r="H5" s="220" t="s">
        <v>30</v>
      </c>
      <c r="I5" s="220"/>
      <c r="J5" s="67" t="s">
        <v>31</v>
      </c>
      <c r="K5" s="67" t="s">
        <v>32</v>
      </c>
      <c r="M5" s="27"/>
    </row>
    <row r="6" spans="1:16" ht="41.5" customHeight="1" x14ac:dyDescent="0.35">
      <c r="A6" s="26"/>
      <c r="B6" s="72"/>
      <c r="C6" s="80">
        <v>1</v>
      </c>
      <c r="D6" s="74" t="s">
        <v>103</v>
      </c>
      <c r="E6" s="110"/>
      <c r="F6" s="110" t="s">
        <v>33</v>
      </c>
      <c r="G6" s="111"/>
      <c r="H6" s="111">
        <f>SUM(H7:H14)</f>
        <v>0</v>
      </c>
      <c r="I6" s="111">
        <f>COUNTA(H7:H14)</f>
        <v>2</v>
      </c>
      <c r="J6" s="111"/>
      <c r="K6" s="110"/>
      <c r="L6" s="106"/>
      <c r="M6" s="26"/>
    </row>
    <row r="7" spans="1:16" ht="45" customHeight="1" x14ac:dyDescent="0.35">
      <c r="A7" s="26"/>
      <c r="B7" s="72"/>
      <c r="C7" s="117" t="s">
        <v>34</v>
      </c>
      <c r="D7" s="96" t="s">
        <v>79</v>
      </c>
      <c r="E7" s="109" t="s">
        <v>38</v>
      </c>
      <c r="F7" s="109"/>
      <c r="G7" s="160"/>
      <c r="H7" s="202">
        <f>IF(G7="Ya",1,0)</f>
        <v>0</v>
      </c>
      <c r="I7" s="203"/>
      <c r="J7" s="112"/>
      <c r="K7" s="31" t="s">
        <v>130</v>
      </c>
      <c r="L7" s="106"/>
      <c r="M7" s="26"/>
      <c r="P7" s="138"/>
    </row>
    <row r="8" spans="1:16" ht="34.5" customHeight="1" x14ac:dyDescent="0.35">
      <c r="A8" s="27"/>
      <c r="B8" s="73"/>
      <c r="C8" s="97" t="s">
        <v>102</v>
      </c>
      <c r="D8" s="98" t="s">
        <v>78</v>
      </c>
      <c r="E8" s="31" t="s">
        <v>35</v>
      </c>
      <c r="F8" s="109" t="s">
        <v>36</v>
      </c>
      <c r="G8" s="144" t="str" cm="1">
        <f t="array" ref="G8">IF(OR(P15:P19=TRUE),"Ya","")</f>
        <v/>
      </c>
      <c r="H8" s="213" cm="1">
        <f t="array" ref="H8">IF(OR(OR(G9:G14="V"),OR(O9:O14=TRUE)),1,0)</f>
        <v>0</v>
      </c>
      <c r="I8" s="214"/>
      <c r="J8" s="208"/>
      <c r="K8" s="210" t="s">
        <v>131</v>
      </c>
      <c r="L8" s="106"/>
      <c r="M8" s="26"/>
    </row>
    <row r="9" spans="1:16" ht="25" customHeight="1" x14ac:dyDescent="0.35">
      <c r="A9" s="27"/>
      <c r="B9" s="73"/>
      <c r="C9" s="142"/>
      <c r="D9" s="140"/>
      <c r="E9" s="139"/>
      <c r="F9" s="109"/>
      <c r="G9" s="145"/>
      <c r="H9" s="221"/>
      <c r="I9" s="222"/>
      <c r="J9" s="209"/>
      <c r="K9" s="210"/>
      <c r="L9" s="106"/>
      <c r="M9" s="26"/>
      <c r="O9" s="138" t="b">
        <v>0</v>
      </c>
    </row>
    <row r="10" spans="1:16" ht="25" customHeight="1" x14ac:dyDescent="0.35">
      <c r="A10" s="27"/>
      <c r="B10" s="73"/>
      <c r="C10" s="142"/>
      <c r="D10" s="140"/>
      <c r="E10" s="139"/>
      <c r="F10" s="109"/>
      <c r="G10" s="146"/>
      <c r="H10" s="221"/>
      <c r="I10" s="222"/>
      <c r="J10" s="209"/>
      <c r="K10" s="210"/>
      <c r="L10" s="106"/>
      <c r="M10" s="26"/>
      <c r="O10" s="138" t="b">
        <v>0</v>
      </c>
    </row>
    <row r="11" spans="1:16" ht="25" customHeight="1" x14ac:dyDescent="0.35">
      <c r="A11" s="27"/>
      <c r="B11" s="73"/>
      <c r="C11" s="142"/>
      <c r="D11" s="140"/>
      <c r="E11" s="139"/>
      <c r="F11" s="109"/>
      <c r="G11" s="147"/>
      <c r="H11" s="221"/>
      <c r="I11" s="222"/>
      <c r="J11" s="209"/>
      <c r="K11" s="210"/>
      <c r="L11" s="106"/>
      <c r="M11" s="26"/>
      <c r="O11" s="138" t="b">
        <v>0</v>
      </c>
    </row>
    <row r="12" spans="1:16" ht="25" customHeight="1" x14ac:dyDescent="0.35">
      <c r="A12" s="27"/>
      <c r="B12" s="73"/>
      <c r="C12" s="142"/>
      <c r="D12" s="140"/>
      <c r="E12" s="139"/>
      <c r="F12" s="109"/>
      <c r="G12" s="147"/>
      <c r="H12" s="221"/>
      <c r="I12" s="222"/>
      <c r="J12" s="209"/>
      <c r="K12" s="210"/>
      <c r="L12" s="106"/>
      <c r="M12" s="26"/>
      <c r="O12" s="138" t="b">
        <v>0</v>
      </c>
    </row>
    <row r="13" spans="1:16" ht="55" customHeight="1" x14ac:dyDescent="0.35">
      <c r="A13" s="27"/>
      <c r="B13" s="73"/>
      <c r="C13" s="142"/>
      <c r="D13" s="140"/>
      <c r="E13" s="139"/>
      <c r="F13" s="109"/>
      <c r="G13" s="145"/>
      <c r="H13" s="221"/>
      <c r="I13" s="222"/>
      <c r="J13" s="209"/>
      <c r="K13" s="210"/>
      <c r="L13" s="106"/>
      <c r="M13" s="26"/>
      <c r="O13" s="138" t="b">
        <v>0</v>
      </c>
    </row>
    <row r="14" spans="1:16" ht="30" customHeight="1" x14ac:dyDescent="0.35">
      <c r="A14" s="27"/>
      <c r="B14" s="73"/>
      <c r="C14" s="143"/>
      <c r="D14" s="141"/>
      <c r="E14" s="139"/>
      <c r="F14" s="109"/>
      <c r="G14" s="146"/>
      <c r="H14" s="221"/>
      <c r="I14" s="222"/>
      <c r="J14" s="209"/>
      <c r="K14" s="210"/>
      <c r="L14" s="106"/>
      <c r="M14" s="26"/>
      <c r="O14" s="138" t="b">
        <v>0</v>
      </c>
    </row>
    <row r="15" spans="1:16" ht="12" customHeight="1" x14ac:dyDescent="0.35">
      <c r="A15" s="26"/>
      <c r="B15" s="72"/>
      <c r="C15" s="113"/>
      <c r="D15" s="114"/>
      <c r="E15" s="96"/>
      <c r="F15" s="115"/>
      <c r="G15" s="116"/>
      <c r="H15" s="202"/>
      <c r="I15" s="203"/>
      <c r="J15" s="112"/>
      <c r="K15" s="30"/>
      <c r="L15" s="106"/>
      <c r="M15" s="26"/>
      <c r="P15" s="138"/>
    </row>
    <row r="16" spans="1:16" ht="32.15" customHeight="1" x14ac:dyDescent="0.35">
      <c r="A16" s="26"/>
      <c r="B16" s="72"/>
      <c r="C16" s="80">
        <v>2</v>
      </c>
      <c r="D16" s="74" t="s">
        <v>104</v>
      </c>
      <c r="E16" s="110"/>
      <c r="F16" s="110"/>
      <c r="G16" s="110"/>
      <c r="H16" s="111">
        <f>SUM(H17:H17)</f>
        <v>0</v>
      </c>
      <c r="I16" s="111">
        <f>COUNTA(H17:H17)</f>
        <v>1</v>
      </c>
      <c r="J16" s="111"/>
      <c r="K16" s="136"/>
      <c r="L16" s="106"/>
      <c r="M16" s="26"/>
      <c r="P16" s="138"/>
    </row>
    <row r="17" spans="1:16" ht="45" customHeight="1" x14ac:dyDescent="0.35">
      <c r="A17" s="26"/>
      <c r="B17" s="72"/>
      <c r="C17" s="117" t="s">
        <v>37</v>
      </c>
      <c r="D17" s="96" t="s">
        <v>77</v>
      </c>
      <c r="E17" s="107" t="s">
        <v>39</v>
      </c>
      <c r="F17" s="109"/>
      <c r="G17" s="160"/>
      <c r="H17" s="202">
        <f>IF(G17="Ya",1,0)</f>
        <v>0</v>
      </c>
      <c r="I17" s="203"/>
      <c r="J17" s="112"/>
      <c r="K17" s="30" t="s">
        <v>98</v>
      </c>
      <c r="L17" s="108"/>
      <c r="M17" s="26"/>
      <c r="P17" s="138"/>
    </row>
    <row r="18" spans="1:16" ht="12" customHeight="1" x14ac:dyDescent="0.35">
      <c r="A18" s="26"/>
      <c r="B18" s="72"/>
      <c r="C18" s="113"/>
      <c r="D18" s="83"/>
      <c r="E18" s="96"/>
      <c r="F18" s="115"/>
      <c r="G18" s="116"/>
      <c r="H18" s="202"/>
      <c r="I18" s="203"/>
      <c r="J18" s="112"/>
      <c r="K18" s="30"/>
      <c r="L18" s="106"/>
      <c r="M18" s="26"/>
      <c r="P18" s="138"/>
    </row>
    <row r="19" spans="1:16" ht="32.15" customHeight="1" x14ac:dyDescent="0.35">
      <c r="A19" s="26"/>
      <c r="B19" s="72"/>
      <c r="C19" s="80">
        <v>3</v>
      </c>
      <c r="D19" s="74" t="s">
        <v>40</v>
      </c>
      <c r="E19" s="110"/>
      <c r="F19" s="110"/>
      <c r="G19" s="110"/>
      <c r="H19" s="111">
        <f>SUM(H20:H21)</f>
        <v>0</v>
      </c>
      <c r="I19" s="111">
        <f>COUNTIF(H20:H21,"&lt;&gt;Tidak dapat score")</f>
        <v>2</v>
      </c>
      <c r="J19" s="111"/>
      <c r="K19" s="136"/>
      <c r="L19" s="106"/>
      <c r="M19" s="26"/>
      <c r="P19" s="138"/>
    </row>
    <row r="20" spans="1:16" ht="60" customHeight="1" x14ac:dyDescent="0.35">
      <c r="A20" s="26"/>
      <c r="B20" s="72"/>
      <c r="C20" s="81" t="s">
        <v>41</v>
      </c>
      <c r="D20" s="76" t="s">
        <v>80</v>
      </c>
      <c r="E20" s="109" t="s">
        <v>74</v>
      </c>
      <c r="F20" s="109" t="s">
        <v>43</v>
      </c>
      <c r="G20" s="160"/>
      <c r="H20" s="202">
        <f>IF(G20="Ya",1,0)</f>
        <v>0</v>
      </c>
      <c r="I20" s="203"/>
      <c r="J20" s="112"/>
      <c r="K20" s="31" t="s">
        <v>132</v>
      </c>
      <c r="L20" s="106"/>
      <c r="M20" s="26"/>
    </row>
    <row r="21" spans="1:16" ht="45" customHeight="1" x14ac:dyDescent="0.35">
      <c r="A21" s="26"/>
      <c r="B21" s="72"/>
      <c r="C21" s="117" t="s">
        <v>42</v>
      </c>
      <c r="D21" s="76" t="s">
        <v>107</v>
      </c>
      <c r="E21" s="107" t="s">
        <v>106</v>
      </c>
      <c r="F21" s="109" t="s">
        <v>105</v>
      </c>
      <c r="G21" s="160"/>
      <c r="H21" s="202">
        <f>IF(G21="Ya",1,0)</f>
        <v>0</v>
      </c>
      <c r="I21" s="203"/>
      <c r="J21" s="112"/>
      <c r="K21" s="149" t="s">
        <v>133</v>
      </c>
      <c r="L21" s="106"/>
      <c r="M21" s="26"/>
    </row>
    <row r="22" spans="1:16" ht="12" customHeight="1" x14ac:dyDescent="0.35">
      <c r="A22" s="26"/>
      <c r="B22" s="72"/>
      <c r="C22" s="82"/>
      <c r="D22" s="83"/>
      <c r="E22" s="75"/>
      <c r="F22" s="115"/>
      <c r="G22" s="116"/>
      <c r="H22" s="202"/>
      <c r="I22" s="203"/>
      <c r="J22" s="112"/>
      <c r="K22" s="30"/>
      <c r="L22" s="106"/>
      <c r="M22" s="26"/>
    </row>
    <row r="23" spans="1:16" ht="31.5" customHeight="1" x14ac:dyDescent="0.35">
      <c r="A23" s="26"/>
      <c r="B23" s="72"/>
      <c r="C23" s="80">
        <v>4</v>
      </c>
      <c r="D23" s="74" t="s">
        <v>108</v>
      </c>
      <c r="E23" s="110"/>
      <c r="F23" s="110"/>
      <c r="G23" s="110"/>
      <c r="H23" s="111">
        <f>SUM(H24:H24)</f>
        <v>0</v>
      </c>
      <c r="I23" s="111">
        <f>COUNTA(H24:H24)</f>
        <v>1</v>
      </c>
      <c r="J23" s="111"/>
      <c r="K23" s="136"/>
      <c r="L23" s="106"/>
      <c r="M23" s="26"/>
    </row>
    <row r="24" spans="1:16" ht="45" customHeight="1" x14ac:dyDescent="0.35">
      <c r="A24" s="26"/>
      <c r="B24" s="72"/>
      <c r="C24" s="81" t="s">
        <v>44</v>
      </c>
      <c r="D24" s="77" t="s">
        <v>81</v>
      </c>
      <c r="E24" s="32"/>
      <c r="F24" s="30"/>
      <c r="G24" s="160"/>
      <c r="H24" s="202">
        <f>IF(G24="Ya",1,0)</f>
        <v>0</v>
      </c>
      <c r="I24" s="203"/>
      <c r="J24" s="112"/>
      <c r="K24" s="31" t="s">
        <v>97</v>
      </c>
      <c r="L24" s="106"/>
      <c r="M24" s="26"/>
    </row>
    <row r="25" spans="1:16" ht="12" customHeight="1" x14ac:dyDescent="0.35">
      <c r="A25" s="26"/>
      <c r="B25" s="72"/>
      <c r="C25" s="113"/>
      <c r="D25" s="114"/>
      <c r="E25" s="96"/>
      <c r="F25" s="115"/>
      <c r="G25" s="116"/>
      <c r="H25" s="202"/>
      <c r="I25" s="203"/>
      <c r="J25" s="112"/>
      <c r="K25" s="30"/>
      <c r="L25" s="106"/>
      <c r="M25" s="26"/>
    </row>
    <row r="26" spans="1:16" ht="30.9" customHeight="1" x14ac:dyDescent="0.35">
      <c r="A26" s="26"/>
      <c r="B26" s="72"/>
      <c r="C26" s="80">
        <v>5</v>
      </c>
      <c r="D26" s="74" t="s">
        <v>45</v>
      </c>
      <c r="E26" s="110"/>
      <c r="F26" s="110"/>
      <c r="G26" s="110"/>
      <c r="H26" s="111">
        <f>SUM(H27:H33)</f>
        <v>0</v>
      </c>
      <c r="I26" s="111">
        <f>COUNTIF(H27:H33,"&lt;&gt;Tidak dapat score")</f>
        <v>4</v>
      </c>
      <c r="J26" s="111"/>
      <c r="K26" s="136"/>
      <c r="L26" s="106"/>
      <c r="M26" s="26"/>
    </row>
    <row r="27" spans="1:16" ht="45" customHeight="1" x14ac:dyDescent="0.35">
      <c r="A27" s="26"/>
      <c r="B27" s="72"/>
      <c r="C27" s="81" t="s">
        <v>46</v>
      </c>
      <c r="D27" s="77" t="s">
        <v>82</v>
      </c>
      <c r="E27" s="30" t="s">
        <v>47</v>
      </c>
      <c r="F27" s="30"/>
      <c r="G27" s="160"/>
      <c r="H27" s="202">
        <f>IF(G27="Ya",1,0)</f>
        <v>0</v>
      </c>
      <c r="I27" s="203"/>
      <c r="J27" s="112"/>
      <c r="K27" s="31" t="s">
        <v>134</v>
      </c>
      <c r="L27" s="106"/>
      <c r="M27" s="26"/>
    </row>
    <row r="28" spans="1:16" ht="45" customHeight="1" x14ac:dyDescent="0.35">
      <c r="A28" s="26"/>
      <c r="B28" s="72"/>
      <c r="C28" s="81" t="s">
        <v>48</v>
      </c>
      <c r="D28" s="124" t="s">
        <v>95</v>
      </c>
      <c r="E28" s="32"/>
      <c r="F28" s="30"/>
      <c r="G28" s="160"/>
      <c r="H28" s="205">
        <f>IF(G28="Ya",1,0)</f>
        <v>0</v>
      </c>
      <c r="I28" s="205"/>
      <c r="J28" s="112"/>
      <c r="K28" s="31" t="s">
        <v>135</v>
      </c>
      <c r="L28" s="106"/>
      <c r="M28" s="26"/>
    </row>
    <row r="29" spans="1:16" ht="45" customHeight="1" x14ac:dyDescent="0.35">
      <c r="A29" s="26"/>
      <c r="B29" s="72"/>
      <c r="C29" s="81" t="s">
        <v>50</v>
      </c>
      <c r="D29" s="77" t="s">
        <v>83</v>
      </c>
      <c r="E29" s="30"/>
      <c r="F29" s="30"/>
      <c r="G29" s="160"/>
      <c r="H29" s="202" t="s">
        <v>49</v>
      </c>
      <c r="I29" s="203"/>
      <c r="J29" s="112"/>
      <c r="K29" s="31"/>
      <c r="L29" s="106"/>
      <c r="M29" s="26"/>
    </row>
    <row r="30" spans="1:16" ht="60" hidden="1" customHeight="1" x14ac:dyDescent="0.35">
      <c r="A30" s="26"/>
      <c r="B30" s="72"/>
      <c r="C30" s="81" t="s">
        <v>51</v>
      </c>
      <c r="D30" s="77" t="s">
        <v>84</v>
      </c>
      <c r="E30" s="32"/>
      <c r="F30" s="30"/>
      <c r="G30" s="112"/>
      <c r="H30" s="202" t="str">
        <f>IF(G29&lt;&gt;"Ya","Tidak dapat score", IF(G30="Ya",1,0))</f>
        <v>Tidak dapat score</v>
      </c>
      <c r="I30" s="203"/>
      <c r="J30" s="112" t="s">
        <v>99</v>
      </c>
      <c r="K30" s="30" t="s">
        <v>136</v>
      </c>
      <c r="L30" s="106"/>
      <c r="M30" s="26"/>
    </row>
    <row r="31" spans="1:16" ht="45" customHeight="1" x14ac:dyDescent="0.35">
      <c r="A31" s="26"/>
      <c r="B31" s="72"/>
      <c r="C31" s="81" t="s">
        <v>53</v>
      </c>
      <c r="D31" s="77" t="s">
        <v>85</v>
      </c>
      <c r="E31" s="32"/>
      <c r="F31" s="30" t="s">
        <v>52</v>
      </c>
      <c r="G31" s="160"/>
      <c r="H31" s="202">
        <f>IF(G31="Ya",1,0)</f>
        <v>0</v>
      </c>
      <c r="I31" s="203"/>
      <c r="J31" s="112"/>
      <c r="K31" s="31" t="s">
        <v>137</v>
      </c>
      <c r="L31" s="106"/>
      <c r="M31" s="26"/>
    </row>
    <row r="32" spans="1:16" ht="45" hidden="1" customHeight="1" x14ac:dyDescent="0.35">
      <c r="A32" s="26"/>
      <c r="B32" s="72"/>
      <c r="C32" s="99" t="s">
        <v>55</v>
      </c>
      <c r="D32" s="100" t="s">
        <v>86</v>
      </c>
      <c r="E32" s="101"/>
      <c r="F32" s="102" t="s">
        <v>54</v>
      </c>
      <c r="G32" s="122"/>
      <c r="H32" s="213" t="str">
        <f>IF(G31&lt;&gt;"Ya","Tidak dapat score", IF(G32="Ya",1,0))</f>
        <v>Tidak dapat score</v>
      </c>
      <c r="I32" s="214"/>
      <c r="J32" s="122" t="s">
        <v>100</v>
      </c>
      <c r="K32" s="102" t="s">
        <v>138</v>
      </c>
      <c r="L32" s="106"/>
      <c r="M32" s="26"/>
    </row>
    <row r="33" spans="1:13" ht="45" customHeight="1" x14ac:dyDescent="0.35">
      <c r="A33" s="26"/>
      <c r="B33" s="72"/>
      <c r="C33" s="81" t="s">
        <v>56</v>
      </c>
      <c r="D33" s="158" t="s">
        <v>87</v>
      </c>
      <c r="E33" s="104"/>
      <c r="F33" s="105" t="s">
        <v>54</v>
      </c>
      <c r="G33" s="161"/>
      <c r="H33" s="212">
        <f>IF(G33="Ya",1,0)</f>
        <v>0</v>
      </c>
      <c r="I33" s="212"/>
      <c r="J33" s="159"/>
      <c r="K33" s="105" t="s">
        <v>139</v>
      </c>
      <c r="L33" s="106"/>
      <c r="M33" s="26"/>
    </row>
    <row r="34" spans="1:13" ht="12" customHeight="1" x14ac:dyDescent="0.35">
      <c r="A34" s="26"/>
      <c r="B34" s="72"/>
      <c r="C34" s="118"/>
      <c r="D34" s="103"/>
      <c r="E34" s="119"/>
      <c r="F34" s="120"/>
      <c r="G34" s="121"/>
      <c r="H34" s="215"/>
      <c r="I34" s="216"/>
      <c r="J34" s="123"/>
      <c r="K34" s="137"/>
      <c r="L34" s="106"/>
      <c r="M34" s="26"/>
    </row>
    <row r="35" spans="1:13" ht="45" customHeight="1" x14ac:dyDescent="0.35">
      <c r="A35" s="26"/>
      <c r="B35" s="72"/>
      <c r="C35" s="80">
        <v>6</v>
      </c>
      <c r="D35" s="74" t="s">
        <v>109</v>
      </c>
      <c r="E35" s="110"/>
      <c r="F35" s="110"/>
      <c r="G35" s="110"/>
      <c r="H35" s="111">
        <f>SUM(H36:H38)</f>
        <v>0</v>
      </c>
      <c r="I35" s="111">
        <f>COUNTA(H36:H38)</f>
        <v>3</v>
      </c>
      <c r="J35" s="111"/>
      <c r="K35" s="136"/>
      <c r="L35" s="106"/>
      <c r="M35" s="26"/>
    </row>
    <row r="36" spans="1:13" ht="75" customHeight="1" x14ac:dyDescent="0.35">
      <c r="A36" s="26"/>
      <c r="B36" s="72"/>
      <c r="C36" s="81" t="s">
        <v>58</v>
      </c>
      <c r="D36" s="77" t="s">
        <v>89</v>
      </c>
      <c r="E36" s="30" t="s">
        <v>59</v>
      </c>
      <c r="F36" s="30" t="s">
        <v>60</v>
      </c>
      <c r="G36" s="160"/>
      <c r="H36" s="202">
        <f>IF(G36="Ya",1,0)</f>
        <v>0</v>
      </c>
      <c r="I36" s="203"/>
      <c r="J36" s="112"/>
      <c r="K36" s="31" t="s">
        <v>140</v>
      </c>
      <c r="L36" s="106"/>
      <c r="M36" s="26"/>
    </row>
    <row r="37" spans="1:13" ht="45" customHeight="1" x14ac:dyDescent="0.35">
      <c r="A37" s="26"/>
      <c r="B37" s="72"/>
      <c r="C37" s="81" t="s">
        <v>61</v>
      </c>
      <c r="D37" s="77" t="s">
        <v>90</v>
      </c>
      <c r="E37" s="32"/>
      <c r="F37" s="30" t="s">
        <v>62</v>
      </c>
      <c r="G37" s="160"/>
      <c r="H37" s="202">
        <f>IF(G37="Ya",1,0)</f>
        <v>0</v>
      </c>
      <c r="I37" s="203"/>
      <c r="J37" s="112"/>
      <c r="K37" s="31" t="s">
        <v>141</v>
      </c>
      <c r="M37" s="26"/>
    </row>
    <row r="38" spans="1:13" ht="60" customHeight="1" x14ac:dyDescent="0.35">
      <c r="A38" s="26"/>
      <c r="B38" s="72"/>
      <c r="C38" s="81" t="s">
        <v>63</v>
      </c>
      <c r="D38" s="77" t="s">
        <v>91</v>
      </c>
      <c r="E38" s="32"/>
      <c r="F38" s="33"/>
      <c r="G38" s="160"/>
      <c r="H38" s="202">
        <f>IF(G38="Ya",1,0)</f>
        <v>0</v>
      </c>
      <c r="I38" s="203"/>
      <c r="J38" s="112"/>
      <c r="K38" s="30" t="s">
        <v>142</v>
      </c>
      <c r="L38" s="106"/>
      <c r="M38" s="26"/>
    </row>
    <row r="39" spans="1:13" ht="12" customHeight="1" x14ac:dyDescent="0.35">
      <c r="A39" s="26"/>
      <c r="B39" s="72"/>
      <c r="C39" s="113"/>
      <c r="D39" s="114"/>
      <c r="E39" s="96"/>
      <c r="F39" s="115"/>
      <c r="G39" s="116"/>
      <c r="H39" s="202"/>
      <c r="I39" s="203"/>
      <c r="J39" s="112"/>
      <c r="K39" s="30"/>
      <c r="L39" s="106"/>
      <c r="M39" s="26"/>
    </row>
    <row r="40" spans="1:13" ht="34.5" customHeight="1" x14ac:dyDescent="0.35">
      <c r="A40" s="26"/>
      <c r="B40" s="72"/>
      <c r="C40" s="80">
        <v>7</v>
      </c>
      <c r="D40" s="133" t="s">
        <v>115</v>
      </c>
      <c r="E40" s="110"/>
      <c r="F40" s="110"/>
      <c r="G40" s="110"/>
      <c r="H40" s="111">
        <f>SUM(H41:H42)</f>
        <v>0</v>
      </c>
      <c r="I40" s="111">
        <f>COUNTA(H41:H42)</f>
        <v>2</v>
      </c>
      <c r="J40" s="111"/>
      <c r="K40" s="110"/>
      <c r="L40" s="106"/>
      <c r="M40" s="26"/>
    </row>
    <row r="41" spans="1:13" ht="45" customHeight="1" x14ac:dyDescent="0.35">
      <c r="A41" s="26"/>
      <c r="B41" s="72"/>
      <c r="C41" s="81" t="s">
        <v>76</v>
      </c>
      <c r="D41" s="77" t="s">
        <v>116</v>
      </c>
      <c r="E41" s="31" t="s">
        <v>114</v>
      </c>
      <c r="F41" s="31" t="s">
        <v>113</v>
      </c>
      <c r="G41" s="160"/>
      <c r="H41" s="202">
        <f>IF(G41="Ya",1,0)</f>
        <v>0</v>
      </c>
      <c r="I41" s="203"/>
      <c r="J41" s="112"/>
      <c r="K41" s="31" t="s">
        <v>143</v>
      </c>
      <c r="L41" s="106"/>
      <c r="M41" s="26"/>
    </row>
    <row r="42" spans="1:13" ht="45" customHeight="1" x14ac:dyDescent="0.35">
      <c r="A42" s="26"/>
      <c r="B42" s="72"/>
      <c r="C42" s="117" t="s">
        <v>112</v>
      </c>
      <c r="D42" s="154" t="s">
        <v>111</v>
      </c>
      <c r="E42" s="148" t="s">
        <v>110</v>
      </c>
      <c r="F42" s="150"/>
      <c r="G42" s="160"/>
      <c r="H42" s="202">
        <f>IF(G42="Ya",1,0)</f>
        <v>0</v>
      </c>
      <c r="I42" s="203"/>
      <c r="J42" s="112"/>
      <c r="K42" s="31" t="s">
        <v>144</v>
      </c>
      <c r="L42" s="106"/>
      <c r="M42" s="26"/>
    </row>
    <row r="43" spans="1:13" ht="12" customHeight="1" x14ac:dyDescent="0.35">
      <c r="A43" s="26"/>
      <c r="B43" s="72"/>
      <c r="C43" s="153"/>
      <c r="D43" s="119"/>
      <c r="E43" s="119"/>
      <c r="F43" s="120"/>
      <c r="G43" s="129"/>
      <c r="H43" s="128"/>
      <c r="I43" s="116"/>
      <c r="J43" s="112"/>
      <c r="K43" s="30"/>
      <c r="L43" s="106"/>
      <c r="M43" s="26"/>
    </row>
    <row r="44" spans="1:13" ht="34.5" customHeight="1" x14ac:dyDescent="0.35">
      <c r="A44" s="26"/>
      <c r="B44" s="72"/>
      <c r="C44" s="132">
        <v>8</v>
      </c>
      <c r="D44" s="133" t="s">
        <v>75</v>
      </c>
      <c r="E44" s="134"/>
      <c r="F44" s="134"/>
      <c r="G44" s="134"/>
      <c r="H44" s="135">
        <f>SUM(H45:H46)</f>
        <v>0</v>
      </c>
      <c r="I44" s="135">
        <f>COUNTIF(H45:H46,"&lt;&gt;Tidak dapat score")</f>
        <v>2</v>
      </c>
      <c r="J44" s="130"/>
      <c r="K44" s="130"/>
      <c r="L44" s="106"/>
      <c r="M44" s="26"/>
    </row>
    <row r="45" spans="1:13" ht="45" customHeight="1" x14ac:dyDescent="0.35">
      <c r="A45" s="26"/>
      <c r="B45" s="72"/>
      <c r="C45" s="81" t="s">
        <v>94</v>
      </c>
      <c r="D45" s="127" t="s">
        <v>92</v>
      </c>
      <c r="E45" s="104"/>
      <c r="F45" s="105"/>
      <c r="G45" s="161"/>
      <c r="H45" s="202">
        <f>IF(G45="Ya",1,0)</f>
        <v>0</v>
      </c>
      <c r="I45" s="203"/>
      <c r="J45" s="112"/>
      <c r="K45" s="31" t="s">
        <v>145</v>
      </c>
      <c r="L45" s="106"/>
      <c r="M45" s="26"/>
    </row>
    <row r="46" spans="1:13" ht="60" customHeight="1" x14ac:dyDescent="0.35">
      <c r="A46" s="26"/>
      <c r="B46" s="72"/>
      <c r="C46" s="131" t="s">
        <v>124</v>
      </c>
      <c r="D46" s="124" t="s">
        <v>88</v>
      </c>
      <c r="E46" s="32"/>
      <c r="F46" s="30" t="s">
        <v>57</v>
      </c>
      <c r="G46" s="160"/>
      <c r="H46" s="205">
        <f>IF(G46="Ya",1,0)</f>
        <v>0</v>
      </c>
      <c r="I46" s="205"/>
      <c r="J46" s="112"/>
      <c r="K46" s="31" t="s">
        <v>146</v>
      </c>
      <c r="L46" s="106"/>
      <c r="M46" s="26"/>
    </row>
    <row r="47" spans="1:13" ht="12" customHeight="1" x14ac:dyDescent="0.35">
      <c r="A47" s="26"/>
      <c r="B47" s="72"/>
      <c r="C47" s="151"/>
      <c r="D47" s="152"/>
      <c r="E47" s="119"/>
      <c r="F47" s="120"/>
      <c r="G47" s="129"/>
      <c r="H47" s="128"/>
      <c r="I47" s="116"/>
      <c r="J47" s="112"/>
      <c r="K47" s="30"/>
      <c r="L47" s="106"/>
      <c r="M47" s="26"/>
    </row>
    <row r="48" spans="1:13" ht="34.5" customHeight="1" x14ac:dyDescent="0.35">
      <c r="A48" s="26"/>
      <c r="B48" s="72"/>
      <c r="C48" s="132">
        <v>9</v>
      </c>
      <c r="D48" s="133" t="s">
        <v>64</v>
      </c>
      <c r="E48" s="134"/>
      <c r="F48" s="134"/>
      <c r="G48" s="134"/>
      <c r="H48" s="135">
        <f>SUM(H49:H51)</f>
        <v>0</v>
      </c>
      <c r="I48" s="135">
        <f>COUNTIF(H49:H51,"&lt;&gt;Tidak dapat score")</f>
        <v>1</v>
      </c>
      <c r="J48" s="130"/>
      <c r="K48" s="130"/>
      <c r="L48" s="106"/>
      <c r="M48" s="26"/>
    </row>
    <row r="49" spans="1:13" ht="36.9" customHeight="1" x14ac:dyDescent="0.35">
      <c r="A49" s="26"/>
      <c r="B49" s="72"/>
      <c r="C49" s="155" t="s">
        <v>117</v>
      </c>
      <c r="D49" s="78" t="s">
        <v>118</v>
      </c>
      <c r="E49" s="109" t="s">
        <v>119</v>
      </c>
      <c r="F49" s="30" t="s">
        <v>120</v>
      </c>
      <c r="G49" s="160"/>
      <c r="H49" s="206" t="s">
        <v>49</v>
      </c>
      <c r="I49" s="207"/>
      <c r="J49" s="112"/>
      <c r="K49" s="109"/>
      <c r="L49" s="106"/>
      <c r="M49" s="26"/>
    </row>
    <row r="50" spans="1:13" ht="60" hidden="1" customHeight="1" x14ac:dyDescent="0.35">
      <c r="A50" s="26"/>
      <c r="B50" s="72"/>
      <c r="C50" s="156" t="s">
        <v>121</v>
      </c>
      <c r="D50" s="77" t="s">
        <v>122</v>
      </c>
      <c r="E50" s="157"/>
      <c r="F50" s="30" t="s">
        <v>120</v>
      </c>
      <c r="G50" s="112"/>
      <c r="H50" s="202" t="str">
        <f>IF(G49&lt;&gt;"Ya","Tidak dapat score", IF(G50="Ya",1,0))</f>
        <v>Tidak dapat score</v>
      </c>
      <c r="I50" s="203"/>
      <c r="J50" s="112" t="s">
        <v>123</v>
      </c>
      <c r="K50" s="31" t="s">
        <v>147</v>
      </c>
      <c r="L50" s="106"/>
      <c r="M50" s="26"/>
    </row>
    <row r="51" spans="1:13" ht="60" customHeight="1" x14ac:dyDescent="0.35">
      <c r="A51" s="26"/>
      <c r="B51" s="72"/>
      <c r="C51" s="125" t="s">
        <v>125</v>
      </c>
      <c r="D51" s="78" t="s">
        <v>93</v>
      </c>
      <c r="E51" s="104"/>
      <c r="F51" s="105"/>
      <c r="G51" s="161"/>
      <c r="H51" s="202">
        <f>IF(G51="Ya",1,0)</f>
        <v>0</v>
      </c>
      <c r="I51" s="203"/>
      <c r="J51" s="112"/>
      <c r="K51" s="31" t="s">
        <v>148</v>
      </c>
      <c r="L51" s="106"/>
      <c r="M51" s="26"/>
    </row>
    <row r="52" spans="1:13" ht="32.25" hidden="1" customHeight="1" x14ac:dyDescent="0.35">
      <c r="A52" s="26"/>
      <c r="B52" s="68"/>
      <c r="G52" s="70" t="s">
        <v>65</v>
      </c>
      <c r="H52" s="70">
        <f>SUM(H6,H16,H19,H23,H26,H35,H40,H44,H48)</f>
        <v>0</v>
      </c>
      <c r="I52" s="70">
        <f>SUM(I6,I16,I19,I23,I26,I35,I40,I44,I48)</f>
        <v>18</v>
      </c>
      <c r="L52" s="68"/>
      <c r="M52" s="26"/>
    </row>
    <row r="53" spans="1:13" ht="29.15" customHeight="1" x14ac:dyDescent="0.35">
      <c r="A53" s="26"/>
      <c r="B53" s="68"/>
      <c r="C53" s="69"/>
      <c r="D53" s="204"/>
      <c r="E53" s="204"/>
      <c r="F53" s="68"/>
      <c r="G53" s="71"/>
      <c r="H53" s="71"/>
      <c r="I53" s="71"/>
      <c r="J53" s="69"/>
      <c r="K53" s="72"/>
      <c r="L53" s="68"/>
      <c r="M53" s="26"/>
    </row>
    <row r="54" spans="1:13" ht="15" customHeight="1" x14ac:dyDescent="0.35">
      <c r="A54" s="26"/>
      <c r="B54" s="94"/>
      <c r="C54" s="95"/>
      <c r="D54" s="94"/>
      <c r="E54" s="94"/>
      <c r="F54" s="94"/>
      <c r="G54" s="95"/>
      <c r="H54" s="69"/>
      <c r="I54" s="69"/>
      <c r="J54" s="69"/>
      <c r="K54" s="69"/>
      <c r="L54" s="94"/>
      <c r="M54" s="26"/>
    </row>
    <row r="55" spans="1:13" ht="38.15" customHeight="1" x14ac:dyDescent="0.35">
      <c r="A55" s="26"/>
      <c r="B55" s="94"/>
      <c r="C55" s="95"/>
      <c r="D55" s="211"/>
      <c r="E55" s="211"/>
      <c r="F55" s="211"/>
      <c r="G55" s="211"/>
      <c r="H55" s="71"/>
      <c r="I55" s="71"/>
      <c r="J55" s="69"/>
      <c r="K55" s="68"/>
      <c r="L55" s="94"/>
      <c r="M55" s="26"/>
    </row>
    <row r="56" spans="1:13" ht="19.5" customHeight="1" x14ac:dyDescent="0.35">
      <c r="A56" s="26"/>
      <c r="B56" s="94"/>
      <c r="C56" s="95"/>
      <c r="D56" s="211"/>
      <c r="E56" s="211"/>
      <c r="F56" s="94"/>
      <c r="G56" s="95"/>
      <c r="H56" s="69"/>
      <c r="I56" s="69"/>
      <c r="J56" s="69"/>
      <c r="K56" s="68"/>
      <c r="L56" s="94"/>
      <c r="M56" s="26"/>
    </row>
    <row r="57" spans="1:13" ht="16.5" customHeight="1" x14ac:dyDescent="0.35">
      <c r="A57" s="26"/>
      <c r="B57" s="26"/>
      <c r="C57" s="27"/>
      <c r="D57" s="26"/>
      <c r="E57" s="26"/>
      <c r="F57" s="26"/>
      <c r="G57" s="26"/>
      <c r="H57" s="26"/>
      <c r="I57" s="26"/>
      <c r="J57" s="26"/>
      <c r="K57" s="26"/>
      <c r="L57" s="26"/>
      <c r="M57" s="26"/>
    </row>
  </sheetData>
  <sheetProtection algorithmName="SHA-512" hashValue="67LnbWZWv0nd6zSpqfJlyACYbeNHevvdL75p9xBS5oss6cIGNaOqWObR467VXk00Ai0YwxGtludE0KYnQ82EOw==" saltValue="oODn1A3ioOtMnDtwajA17Q==" spinCount="100000" sheet="1" objects="1" scenarios="1"/>
  <mergeCells count="36">
    <mergeCell ref="C3:G3"/>
    <mergeCell ref="H36:I36"/>
    <mergeCell ref="H37:I37"/>
    <mergeCell ref="H18:I18"/>
    <mergeCell ref="H15:I15"/>
    <mergeCell ref="H5:I5"/>
    <mergeCell ref="H20:I20"/>
    <mergeCell ref="H22:I22"/>
    <mergeCell ref="H8:I14"/>
    <mergeCell ref="H21:I21"/>
    <mergeCell ref="J8:J14"/>
    <mergeCell ref="K8:K14"/>
    <mergeCell ref="H7:I7"/>
    <mergeCell ref="H17:I17"/>
    <mergeCell ref="D56:E56"/>
    <mergeCell ref="H24:I24"/>
    <mergeCell ref="H25:I25"/>
    <mergeCell ref="H27:I27"/>
    <mergeCell ref="H30:I30"/>
    <mergeCell ref="H29:I29"/>
    <mergeCell ref="H31:I31"/>
    <mergeCell ref="H33:I33"/>
    <mergeCell ref="H32:I32"/>
    <mergeCell ref="H46:I46"/>
    <mergeCell ref="H34:I34"/>
    <mergeCell ref="D55:G55"/>
    <mergeCell ref="H45:I45"/>
    <mergeCell ref="D53:E53"/>
    <mergeCell ref="H51:I51"/>
    <mergeCell ref="H39:I39"/>
    <mergeCell ref="H28:I28"/>
    <mergeCell ref="H38:I38"/>
    <mergeCell ref="H41:I41"/>
    <mergeCell ref="H42:I42"/>
    <mergeCell ref="H49:I49"/>
    <mergeCell ref="H50:I50"/>
  </mergeCells>
  <phoneticPr fontId="3" type="noConversion"/>
  <conditionalFormatting sqref="H32">
    <cfRule type="expression" dxfId="71" priority="51">
      <formula>$G$31&lt;&gt;"Ya"</formula>
    </cfRule>
  </conditionalFormatting>
  <conditionalFormatting sqref="C32:F32 K32">
    <cfRule type="expression" dxfId="70" priority="49">
      <formula>$G$31 &lt;&gt; "Ya"</formula>
    </cfRule>
  </conditionalFormatting>
  <conditionalFormatting sqref="C30:F30 K30">
    <cfRule type="expression" dxfId="69" priority="44">
      <formula>$G$29 &lt;&gt; "Ya"</formula>
    </cfRule>
  </conditionalFormatting>
  <conditionalFormatting sqref="H30:I30">
    <cfRule type="expression" dxfId="68" priority="43">
      <formula>$G$29 &lt;&gt; "Ya"</formula>
    </cfRule>
  </conditionalFormatting>
  <conditionalFormatting sqref="G36:G38 G51 G17 G7 G20 G32:G33 G45:G46">
    <cfRule type="expression" dxfId="67" priority="41">
      <formula>$G7 &lt;&gt; ""</formula>
    </cfRule>
  </conditionalFormatting>
  <conditionalFormatting sqref="G24">
    <cfRule type="expression" dxfId="66" priority="19">
      <formula>$G24 &lt;&gt; ""</formula>
    </cfRule>
  </conditionalFormatting>
  <conditionalFormatting sqref="G27 G29:G31">
    <cfRule type="expression" dxfId="65" priority="18">
      <formula>$G27 &lt;&gt; ""</formula>
    </cfRule>
  </conditionalFormatting>
  <conditionalFormatting sqref="G28">
    <cfRule type="expression" dxfId="64" priority="13">
      <formula>$G28 &lt;&gt; ""</formula>
    </cfRule>
  </conditionalFormatting>
  <conditionalFormatting sqref="G21">
    <cfRule type="expression" dxfId="63" priority="10">
      <formula>$G21 &lt;&gt; ""</formula>
    </cfRule>
  </conditionalFormatting>
  <conditionalFormatting sqref="G41:G42">
    <cfRule type="expression" dxfId="62" priority="9">
      <formula>$G41 &lt;&gt; ""</formula>
    </cfRule>
  </conditionalFormatting>
  <conditionalFormatting sqref="C50:G50 K50">
    <cfRule type="expression" dxfId="61" priority="4">
      <formula>$G$49 &lt;&gt; "Ya"</formula>
    </cfRule>
  </conditionalFormatting>
  <conditionalFormatting sqref="G49:G50">
    <cfRule type="expression" dxfId="60" priority="3">
      <formula>$G49 &lt;&gt; ""</formula>
    </cfRule>
  </conditionalFormatting>
  <conditionalFormatting sqref="C50:D50">
    <cfRule type="expression" dxfId="59" priority="2">
      <formula>$G$49 = "Ya"</formula>
    </cfRule>
  </conditionalFormatting>
  <conditionalFormatting sqref="H50:I50">
    <cfRule type="expression" dxfId="58" priority="1">
      <formula>$G$49 &lt;&gt; "Ya"</formula>
    </cfRule>
  </conditionalFormatting>
  <dataValidations count="1">
    <dataValidation type="list" showInputMessage="1" showErrorMessage="1" sqref="G24 G36:G38 G41:G42 G7 G17 G20:G21 G49:G51 G45:G46 G27:G33" xr:uid="{2A1EEBBC-92B9-41EF-A434-7E05616121EF}">
      <formula1>"Ya,Tidak"</formula1>
    </dataValidation>
  </dataValidations>
  <printOptions horizontalCentered="1"/>
  <pageMargins left="0.39370078740157483" right="0.39370078740157483" top="0.39370078740157483" bottom="0.39370078740157483" header="0.31496062992125984" footer="0.31496062992125984"/>
  <pageSetup paperSize="9" scale="55" fitToHeight="3" orientation="portrait" r:id="rId1"/>
  <rowBreaks count="2" manualBreakCount="2">
    <brk id="18" max="16383" man="1"/>
    <brk id="2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BtnLihatHasil_Click">
                <anchor moveWithCells="1" sizeWithCells="1">
                  <from>
                    <xdr:col>3</xdr:col>
                    <xdr:colOff>1555750</xdr:colOff>
                    <xdr:row>53</xdr:row>
                    <xdr:rowOff>6350</xdr:rowOff>
                  </from>
                  <to>
                    <xdr:col>3</xdr:col>
                    <xdr:colOff>2895600</xdr:colOff>
                    <xdr:row>54</xdr:row>
                    <xdr:rowOff>425450</xdr:rowOff>
                  </to>
                </anchor>
              </controlPr>
            </control>
          </mc:Choice>
        </mc:AlternateContent>
        <mc:AlternateContent xmlns:mc="http://schemas.openxmlformats.org/markup-compatibility/2006">
          <mc:Choice Requires="x14">
            <control shapeId="4113" r:id="rId5" name="Check Box 17">
              <controlPr defaultSize="0" autoFill="0" autoLine="0" autoPict="0">
                <anchor moveWithCells="1">
                  <from>
                    <xdr:col>6</xdr:col>
                    <xdr:colOff>266700</xdr:colOff>
                    <xdr:row>8</xdr:row>
                    <xdr:rowOff>0</xdr:rowOff>
                  </from>
                  <to>
                    <xdr:col>6</xdr:col>
                    <xdr:colOff>488950</xdr:colOff>
                    <xdr:row>8</xdr:row>
                    <xdr:rowOff>285750</xdr:rowOff>
                  </to>
                </anchor>
              </controlPr>
            </control>
          </mc:Choice>
        </mc:AlternateContent>
        <mc:AlternateContent xmlns:mc="http://schemas.openxmlformats.org/markup-compatibility/2006">
          <mc:Choice Requires="x14">
            <control shapeId="4114" r:id="rId6" name="Check Box 18">
              <controlPr defaultSize="0" autoFill="0" autoLine="0" autoPict="0">
                <anchor moveWithCells="1">
                  <from>
                    <xdr:col>6</xdr:col>
                    <xdr:colOff>260350</xdr:colOff>
                    <xdr:row>9</xdr:row>
                    <xdr:rowOff>19050</xdr:rowOff>
                  </from>
                  <to>
                    <xdr:col>6</xdr:col>
                    <xdr:colOff>482600</xdr:colOff>
                    <xdr:row>9</xdr:row>
                    <xdr:rowOff>311150</xdr:rowOff>
                  </to>
                </anchor>
              </controlPr>
            </control>
          </mc:Choice>
        </mc:AlternateContent>
        <mc:AlternateContent xmlns:mc="http://schemas.openxmlformats.org/markup-compatibility/2006">
          <mc:Choice Requires="x14">
            <control shapeId="4115" r:id="rId7" name="Check Box 19">
              <controlPr defaultSize="0" autoFill="0" autoLine="0" autoPict="0">
                <anchor moveWithCells="1">
                  <from>
                    <xdr:col>6</xdr:col>
                    <xdr:colOff>266700</xdr:colOff>
                    <xdr:row>10</xdr:row>
                    <xdr:rowOff>25400</xdr:rowOff>
                  </from>
                  <to>
                    <xdr:col>6</xdr:col>
                    <xdr:colOff>488950</xdr:colOff>
                    <xdr:row>10</xdr:row>
                    <xdr:rowOff>311150</xdr:rowOff>
                  </to>
                </anchor>
              </controlPr>
            </control>
          </mc:Choice>
        </mc:AlternateContent>
        <mc:AlternateContent xmlns:mc="http://schemas.openxmlformats.org/markup-compatibility/2006">
          <mc:Choice Requires="x14">
            <control shapeId="4116" r:id="rId8" name="Check Box 20">
              <controlPr defaultSize="0" autoFill="0" autoLine="0" autoPict="0">
                <anchor moveWithCells="1">
                  <from>
                    <xdr:col>6</xdr:col>
                    <xdr:colOff>260350</xdr:colOff>
                    <xdr:row>11</xdr:row>
                    <xdr:rowOff>25400</xdr:rowOff>
                  </from>
                  <to>
                    <xdr:col>6</xdr:col>
                    <xdr:colOff>482600</xdr:colOff>
                    <xdr:row>12</xdr:row>
                    <xdr:rowOff>0</xdr:rowOff>
                  </to>
                </anchor>
              </controlPr>
            </control>
          </mc:Choice>
        </mc:AlternateContent>
        <mc:AlternateContent xmlns:mc="http://schemas.openxmlformats.org/markup-compatibility/2006">
          <mc:Choice Requires="x14">
            <control shapeId="4117" r:id="rId9" name="Check Box 21">
              <controlPr defaultSize="0" autoFill="0" autoLine="0" autoPict="0">
                <anchor moveWithCells="1">
                  <from>
                    <xdr:col>6</xdr:col>
                    <xdr:colOff>254000</xdr:colOff>
                    <xdr:row>12</xdr:row>
                    <xdr:rowOff>209550</xdr:rowOff>
                  </from>
                  <to>
                    <xdr:col>6</xdr:col>
                    <xdr:colOff>482600</xdr:colOff>
                    <xdr:row>12</xdr:row>
                    <xdr:rowOff>514350</xdr:rowOff>
                  </to>
                </anchor>
              </controlPr>
            </control>
          </mc:Choice>
        </mc:AlternateContent>
        <mc:AlternateContent xmlns:mc="http://schemas.openxmlformats.org/markup-compatibility/2006">
          <mc:Choice Requires="x14">
            <control shapeId="4118" r:id="rId10" name="Check Box 22">
              <controlPr defaultSize="0" autoFill="0" autoLine="0" autoPict="0">
                <anchor moveWithCells="1">
                  <from>
                    <xdr:col>6</xdr:col>
                    <xdr:colOff>254000</xdr:colOff>
                    <xdr:row>13</xdr:row>
                    <xdr:rowOff>6350</xdr:rowOff>
                  </from>
                  <to>
                    <xdr:col>6</xdr:col>
                    <xdr:colOff>482600</xdr:colOff>
                    <xdr:row>13</xdr:row>
                    <xdr:rowOff>311150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F3EF2-F2D9-42FE-8CCC-19E8D72B15D1}">
  <sheetPr codeName="Sheet8"/>
  <dimension ref="A1:J20"/>
  <sheetViews>
    <sheetView zoomScale="77" workbookViewId="0">
      <selection activeCell="D14" sqref="D14"/>
    </sheetView>
  </sheetViews>
  <sheetFormatPr defaultColWidth="8.54296875" defaultRowHeight="14" x14ac:dyDescent="0.35"/>
  <cols>
    <col min="1" max="2" width="2.54296875" style="3" customWidth="1"/>
    <col min="3" max="3" width="4.90625" style="3" customWidth="1"/>
    <col min="4" max="4" width="40" style="7" customWidth="1"/>
    <col min="5" max="5" width="4.08984375" style="10" customWidth="1"/>
    <col min="6" max="6" width="3.453125" style="10" customWidth="1"/>
    <col min="7" max="7" width="7.453125" style="10" customWidth="1"/>
    <col min="8" max="8" width="7.08984375" style="10" customWidth="1"/>
    <col min="9" max="9" width="2.54296875" style="3" customWidth="1"/>
    <col min="10" max="10" width="3.453125" style="3" customWidth="1"/>
    <col min="11" max="11" width="8.54296875" style="3"/>
    <col min="12" max="14" width="17.08984375" style="3" customWidth="1"/>
    <col min="15" max="16384" width="8.54296875" style="3"/>
  </cols>
  <sheetData>
    <row r="1" spans="1:10" x14ac:dyDescent="0.35">
      <c r="A1" s="1"/>
      <c r="B1" s="1"/>
      <c r="C1" s="1"/>
      <c r="D1" s="2"/>
      <c r="E1" s="8"/>
      <c r="F1" s="8"/>
      <c r="G1" s="8"/>
      <c r="H1" s="8"/>
      <c r="I1" s="1"/>
      <c r="J1" s="1"/>
    </row>
    <row r="2" spans="1:10" x14ac:dyDescent="0.35">
      <c r="A2" s="1"/>
      <c r="B2" s="4"/>
      <c r="C2" s="4"/>
      <c r="D2" s="5"/>
      <c r="E2" s="9"/>
      <c r="F2" s="9"/>
      <c r="G2" s="9"/>
      <c r="H2" s="9"/>
      <c r="I2" s="4"/>
      <c r="J2" s="1"/>
    </row>
    <row r="3" spans="1:10" ht="48" customHeight="1" x14ac:dyDescent="0.35">
      <c r="A3" s="1"/>
      <c r="B3" s="4"/>
      <c r="C3" s="225" t="s">
        <v>66</v>
      </c>
      <c r="D3" s="225"/>
      <c r="E3" s="225"/>
      <c r="F3" s="225"/>
      <c r="G3" s="225"/>
      <c r="H3" s="225"/>
      <c r="I3" s="4"/>
      <c r="J3" s="1"/>
    </row>
    <row r="4" spans="1:10" ht="15.5" x14ac:dyDescent="0.35">
      <c r="A4" s="1"/>
      <c r="B4" s="4"/>
      <c r="C4" s="4"/>
      <c r="D4" s="11"/>
      <c r="E4" s="12"/>
      <c r="F4" s="12"/>
      <c r="G4" s="12"/>
      <c r="H4" s="12"/>
      <c r="I4" s="4"/>
      <c r="J4" s="1"/>
    </row>
    <row r="5" spans="1:10" ht="20.25" customHeight="1" x14ac:dyDescent="0.35">
      <c r="A5" s="1"/>
      <c r="B5" s="4"/>
      <c r="C5" s="226" t="s">
        <v>67</v>
      </c>
      <c r="D5" s="226"/>
      <c r="E5" s="226"/>
      <c r="F5" s="226"/>
      <c r="G5" s="226"/>
      <c r="H5" s="226"/>
      <c r="I5" s="4"/>
      <c r="J5" s="1"/>
    </row>
    <row r="6" spans="1:10" ht="12" customHeight="1" x14ac:dyDescent="0.35">
      <c r="A6" s="1"/>
      <c r="B6" s="4"/>
      <c r="C6" s="13"/>
      <c r="D6" s="13"/>
      <c r="E6" s="13"/>
      <c r="F6" s="13"/>
      <c r="G6" s="13"/>
      <c r="H6" s="13"/>
      <c r="I6" s="4"/>
      <c r="J6" s="1"/>
    </row>
    <row r="7" spans="1:10" ht="14.5" x14ac:dyDescent="0.35">
      <c r="A7" s="1"/>
      <c r="B7" s="4"/>
      <c r="C7" s="14" t="s">
        <v>25</v>
      </c>
      <c r="D7" s="15" t="s">
        <v>68</v>
      </c>
      <c r="E7" s="223" t="s">
        <v>69</v>
      </c>
      <c r="F7" s="224"/>
      <c r="G7" s="24"/>
      <c r="H7" s="14"/>
      <c r="I7" s="4"/>
      <c r="J7" s="1"/>
    </row>
    <row r="8" spans="1:10" ht="14.5" x14ac:dyDescent="0.35">
      <c r="A8" s="1"/>
      <c r="B8" s="4"/>
      <c r="C8" s="16">
        <v>1</v>
      </c>
      <c r="D8" s="17" t="str">
        <f>Asesmen!D6</f>
        <v>Pengumpulan Data Pribadi Secara Terbatas, Spesifik serta Sah Secara Hukum</v>
      </c>
      <c r="E8" s="18">
        <f>Asesmen!H6</f>
        <v>0</v>
      </c>
      <c r="F8" s="18">
        <f>Asesmen!I6</f>
        <v>2</v>
      </c>
      <c r="G8" s="25" t="str">
        <f t="shared" ref="G8:G16" si="0" xml:space="preserve"> E8 &amp; " / " &amp; F8</f>
        <v>0 / 2</v>
      </c>
      <c r="H8" s="86">
        <f>(E8/F8)</f>
        <v>0</v>
      </c>
      <c r="I8" s="4"/>
      <c r="J8" s="1"/>
    </row>
    <row r="9" spans="1:10" ht="27.5" customHeight="1" x14ac:dyDescent="0.35">
      <c r="A9" s="1"/>
      <c r="B9" s="4"/>
      <c r="C9" s="16">
        <v>2</v>
      </c>
      <c r="D9" s="17" t="str">
        <f xml:space="preserve"> Asesmen!D16</f>
        <v>Kesesuaian Pemrosesan Data Pribadi dengan Tujuannya</v>
      </c>
      <c r="E9" s="18">
        <f>Asesmen!H16</f>
        <v>0</v>
      </c>
      <c r="F9" s="18">
        <f>Asesmen!I16</f>
        <v>1</v>
      </c>
      <c r="G9" s="25" t="str">
        <f t="shared" si="0"/>
        <v>0 / 1</v>
      </c>
      <c r="H9" s="86">
        <f t="shared" ref="H9:H16" si="1">(E9/F9)</f>
        <v>0</v>
      </c>
      <c r="I9" s="4"/>
      <c r="J9" s="1"/>
    </row>
    <row r="10" spans="1:10" ht="14.5" x14ac:dyDescent="0.35">
      <c r="A10" s="1"/>
      <c r="B10" s="4"/>
      <c r="C10" s="16">
        <v>3</v>
      </c>
      <c r="D10" s="17" t="str">
        <f xml:space="preserve"> Asesmen!D19</f>
        <v>Jaminan Hak Subjek Data Pribadi</v>
      </c>
      <c r="E10" s="18">
        <f>Asesmen!H19</f>
        <v>0</v>
      </c>
      <c r="F10" s="18">
        <f>Asesmen!I19</f>
        <v>2</v>
      </c>
      <c r="G10" s="25" t="str">
        <f t="shared" si="0"/>
        <v>0 / 2</v>
      </c>
      <c r="H10" s="86">
        <f t="shared" si="1"/>
        <v>0</v>
      </c>
      <c r="I10" s="4"/>
      <c r="J10" s="1"/>
    </row>
    <row r="11" spans="1:10" ht="29" x14ac:dyDescent="0.35">
      <c r="A11" s="1"/>
      <c r="B11" s="4"/>
      <c r="C11" s="16">
        <v>4</v>
      </c>
      <c r="D11" s="17" t="str">
        <f xml:space="preserve"> Asesmen!D23</f>
        <v>Keakuratan dan Kelengkapan Pemrosesan Data Pribadi</v>
      </c>
      <c r="E11" s="18">
        <f>Asesmen!H23</f>
        <v>0</v>
      </c>
      <c r="F11" s="18">
        <f>Asesmen!I23</f>
        <v>1</v>
      </c>
      <c r="G11" s="25" t="str">
        <f t="shared" si="0"/>
        <v>0 / 1</v>
      </c>
      <c r="H11" s="86">
        <f t="shared" si="1"/>
        <v>0</v>
      </c>
      <c r="I11" s="4"/>
      <c r="J11" s="1"/>
    </row>
    <row r="12" spans="1:10" ht="14.5" x14ac:dyDescent="0.35">
      <c r="A12" s="1"/>
      <c r="B12" s="4"/>
      <c r="C12" s="16">
        <v>5</v>
      </c>
      <c r="D12" s="17" t="str">
        <f xml:space="preserve"> Asesmen!D26</f>
        <v>Upaya Pengamanan Data Pribadi</v>
      </c>
      <c r="E12" s="18">
        <f>Asesmen!H26</f>
        <v>0</v>
      </c>
      <c r="F12" s="18">
        <f>Asesmen!I26</f>
        <v>4</v>
      </c>
      <c r="G12" s="25" t="str">
        <f t="shared" si="0"/>
        <v>0 / 4</v>
      </c>
      <c r="H12" s="86">
        <f t="shared" si="1"/>
        <v>0</v>
      </c>
      <c r="I12" s="4"/>
      <c r="J12" s="1"/>
    </row>
    <row r="13" spans="1:10" ht="29" x14ac:dyDescent="0.35">
      <c r="A13" s="1"/>
      <c r="B13" s="4"/>
      <c r="C13" s="16">
        <v>6</v>
      </c>
      <c r="D13" s="17" t="s">
        <v>129</v>
      </c>
      <c r="E13" s="18">
        <f>Asesmen!H35</f>
        <v>0</v>
      </c>
      <c r="F13" s="18">
        <f>Asesmen!I35</f>
        <v>3</v>
      </c>
      <c r="G13" s="25" t="str">
        <f t="shared" si="0"/>
        <v>0 / 3</v>
      </c>
      <c r="H13" s="86">
        <f t="shared" si="1"/>
        <v>0</v>
      </c>
      <c r="I13" s="4"/>
      <c r="J13" s="1"/>
    </row>
    <row r="14" spans="1:10" ht="14.5" x14ac:dyDescent="0.35">
      <c r="A14" s="1"/>
      <c r="B14" s="4"/>
      <c r="C14" s="16">
        <v>7</v>
      </c>
      <c r="D14" s="17" t="str">
        <f>Asesmen!D40</f>
        <v>Pemusnahan dan Penghapusan Data Pribadi</v>
      </c>
      <c r="E14" s="18">
        <f>Asesmen!H40</f>
        <v>0</v>
      </c>
      <c r="F14" s="18">
        <f>Asesmen!I40</f>
        <v>2</v>
      </c>
      <c r="G14" s="25" t="str">
        <f t="shared" si="0"/>
        <v>0 / 2</v>
      </c>
      <c r="H14" s="86">
        <f t="shared" si="1"/>
        <v>0</v>
      </c>
      <c r="I14" s="4"/>
      <c r="J14" s="1"/>
    </row>
    <row r="15" spans="1:10" ht="29" x14ac:dyDescent="0.35">
      <c r="A15" s="1"/>
      <c r="B15" s="4"/>
      <c r="C15" s="16">
        <v>8</v>
      </c>
      <c r="D15" s="17" t="str">
        <f>Asesmen!D44</f>
        <v>Tanggung Jawab dan Pembuktian Pemrosesan Data Pribadi</v>
      </c>
      <c r="E15" s="18">
        <f>Asesmen!H44</f>
        <v>0</v>
      </c>
      <c r="F15" s="18">
        <f>Asesmen!I44</f>
        <v>2</v>
      </c>
      <c r="G15" s="25" t="str">
        <f t="shared" ref="G15" si="2" xml:space="preserve"> E15 &amp; " / " &amp; F15</f>
        <v>0 / 2</v>
      </c>
      <c r="H15" s="86">
        <f t="shared" ref="H15" si="3">(E15/F15)</f>
        <v>0</v>
      </c>
      <c r="I15" s="4"/>
      <c r="J15" s="1"/>
    </row>
    <row r="16" spans="1:10" ht="14.5" x14ac:dyDescent="0.35">
      <c r="A16" s="1"/>
      <c r="B16" s="4"/>
      <c r="C16" s="16">
        <v>9</v>
      </c>
      <c r="D16" s="19" t="str">
        <f>Asesmen!D48</f>
        <v>Pengiriman dan Pengungkapan Data Pribadi</v>
      </c>
      <c r="E16" s="18">
        <f>Asesmen!H48</f>
        <v>0</v>
      </c>
      <c r="F16" s="18">
        <f>Asesmen!I48</f>
        <v>1</v>
      </c>
      <c r="G16" s="25" t="str">
        <f t="shared" si="0"/>
        <v>0 / 1</v>
      </c>
      <c r="H16" s="86">
        <f t="shared" si="1"/>
        <v>0</v>
      </c>
      <c r="I16" s="4"/>
      <c r="J16" s="1"/>
    </row>
    <row r="17" spans="1:10" ht="14.5" x14ac:dyDescent="0.35">
      <c r="A17" s="1"/>
      <c r="B17" s="4"/>
      <c r="C17" s="19"/>
      <c r="D17" s="20" t="s">
        <v>70</v>
      </c>
      <c r="E17" s="18">
        <f>Asesmen!H52</f>
        <v>0</v>
      </c>
      <c r="F17" s="18">
        <f>Asesmen!I52</f>
        <v>18</v>
      </c>
      <c r="G17" s="25" t="str">
        <f xml:space="preserve"> Asesmen!H52 &amp; " / " &amp; Asesmen!I52</f>
        <v>0 / 18</v>
      </c>
      <c r="H17" s="87">
        <f>E17/F17</f>
        <v>0</v>
      </c>
      <c r="I17" s="6"/>
      <c r="J17" s="1"/>
    </row>
    <row r="18" spans="1:10" ht="14.5" x14ac:dyDescent="0.35">
      <c r="A18" s="1"/>
      <c r="B18" s="4"/>
      <c r="C18" s="4"/>
      <c r="D18" s="21"/>
      <c r="E18" s="22"/>
      <c r="F18" s="22"/>
      <c r="G18" s="22"/>
      <c r="H18" s="22"/>
      <c r="I18" s="6"/>
      <c r="J18" s="1"/>
    </row>
    <row r="19" spans="1:10" ht="15" customHeight="1" x14ac:dyDescent="0.35">
      <c r="A19" s="1"/>
      <c r="B19" s="4"/>
      <c r="C19" s="23"/>
      <c r="D19" s="5"/>
      <c r="E19" s="9"/>
      <c r="F19" s="9"/>
      <c r="G19" s="9"/>
      <c r="H19" s="9"/>
      <c r="I19" s="4"/>
      <c r="J19" s="1"/>
    </row>
    <row r="20" spans="1:10" ht="15" customHeight="1" x14ac:dyDescent="0.35">
      <c r="A20" s="1"/>
      <c r="B20" s="1"/>
      <c r="C20" s="1"/>
      <c r="D20" s="2"/>
      <c r="E20" s="8"/>
      <c r="F20" s="8"/>
      <c r="G20" s="8"/>
      <c r="H20" s="8"/>
      <c r="I20" s="1"/>
      <c r="J20" s="1"/>
    </row>
  </sheetData>
  <mergeCells count="3">
    <mergeCell ref="E7:F7"/>
    <mergeCell ref="C3:H3"/>
    <mergeCell ref="C5:H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79532-525F-431A-BCA1-60BB8EE873E8}">
  <sheetPr codeName="Sheet9">
    <pageSetUpPr fitToPage="1"/>
  </sheetPr>
  <dimension ref="A1:M57"/>
  <sheetViews>
    <sheetView zoomScale="67" zoomScaleNormal="67" zoomScaleSheetLayoutView="55" workbookViewId="0">
      <selection activeCell="C4" sqref="C4"/>
    </sheetView>
  </sheetViews>
  <sheetFormatPr defaultColWidth="0" defaultRowHeight="14" zeroHeight="1" x14ac:dyDescent="0.35"/>
  <cols>
    <col min="1" max="1" width="2.90625" style="38" customWidth="1"/>
    <col min="2" max="2" width="3.54296875" style="38" customWidth="1"/>
    <col min="3" max="3" width="7.453125" style="38" customWidth="1"/>
    <col min="4" max="4" width="42" style="40" customWidth="1"/>
    <col min="5" max="5" width="24.26953125" style="40" customWidth="1"/>
    <col min="6" max="6" width="14.90625" style="41" customWidth="1"/>
    <col min="7" max="7" width="24.81640625" style="38" customWidth="1"/>
    <col min="8" max="8" width="3.54296875" style="38" customWidth="1"/>
    <col min="9" max="9" width="2.90625" style="38" customWidth="1"/>
    <col min="10" max="10" width="8.54296875" style="38" hidden="1" customWidth="1"/>
    <col min="11" max="13" width="17.08984375" style="38" hidden="1" customWidth="1"/>
    <col min="14" max="16384" width="8.54296875" style="38" hidden="1"/>
  </cols>
  <sheetData>
    <row r="1" spans="1:12" ht="16.5" customHeight="1" x14ac:dyDescent="0.35">
      <c r="A1" s="35"/>
      <c r="B1" s="35"/>
      <c r="C1" s="35"/>
      <c r="D1" s="36"/>
      <c r="E1" s="36"/>
      <c r="F1" s="37"/>
      <c r="G1" s="35"/>
      <c r="H1" s="35"/>
      <c r="I1" s="35"/>
    </row>
    <row r="2" spans="1:12" ht="18.899999999999999" customHeight="1" x14ac:dyDescent="0.35">
      <c r="A2" s="35"/>
      <c r="B2" s="42"/>
      <c r="C2" s="42"/>
      <c r="D2" s="43"/>
      <c r="E2" s="43"/>
      <c r="F2" s="44"/>
      <c r="G2" s="42"/>
      <c r="H2" s="42"/>
      <c r="I2" s="35"/>
    </row>
    <row r="3" spans="1:12" ht="48" customHeight="1" x14ac:dyDescent="0.35">
      <c r="A3" s="35"/>
      <c r="B3" s="42"/>
      <c r="C3" s="236" t="s">
        <v>71</v>
      </c>
      <c r="D3" s="236"/>
      <c r="E3" s="236"/>
      <c r="F3" s="236"/>
      <c r="G3" s="236"/>
      <c r="H3" s="42"/>
      <c r="I3" s="35"/>
    </row>
    <row r="4" spans="1:12" ht="21.9" customHeight="1" x14ac:dyDescent="0.35">
      <c r="A4" s="35"/>
      <c r="B4" s="42"/>
      <c r="C4" s="45"/>
      <c r="D4" s="45"/>
      <c r="E4" s="45"/>
      <c r="F4" s="45"/>
      <c r="G4" s="45"/>
      <c r="H4" s="42"/>
      <c r="I4" s="35"/>
    </row>
    <row r="5" spans="1:12" ht="36" customHeight="1" x14ac:dyDescent="0.35">
      <c r="A5" s="35"/>
      <c r="B5" s="42"/>
      <c r="C5" s="238" t="s">
        <v>72</v>
      </c>
      <c r="D5" s="238"/>
      <c r="E5" s="46" t="str">
        <f>'HIDE-Nilai'!G17</f>
        <v>0 / 18</v>
      </c>
      <c r="F5" s="47">
        <f>'HIDE-Nilai'!H17</f>
        <v>0</v>
      </c>
      <c r="G5" s="48" t="str">
        <f xml:space="preserve"> IF(F5&lt;=50%, "Rendah", IF(F5&lt;=90%, "Menengah", "Tinggi"))</f>
        <v>Rendah</v>
      </c>
      <c r="H5" s="42"/>
      <c r="I5" s="35"/>
    </row>
    <row r="6" spans="1:12" ht="20.149999999999999" customHeight="1" x14ac:dyDescent="0.35">
      <c r="A6" s="35"/>
      <c r="B6" s="42"/>
      <c r="C6" s="237"/>
      <c r="D6" s="237"/>
      <c r="E6" s="237"/>
      <c r="F6" s="237"/>
      <c r="G6" s="237"/>
      <c r="H6" s="42"/>
      <c r="I6" s="35"/>
    </row>
    <row r="7" spans="1:12" ht="354.5" customHeight="1" x14ac:dyDescent="0.35">
      <c r="A7" s="35"/>
      <c r="B7" s="42"/>
      <c r="C7" s="237"/>
      <c r="D7" s="237"/>
      <c r="E7" s="237"/>
      <c r="F7" s="237"/>
      <c r="G7" s="237"/>
      <c r="H7" s="42"/>
      <c r="I7" s="35"/>
    </row>
    <row r="8" spans="1:12" ht="29.15" customHeight="1" x14ac:dyDescent="0.35">
      <c r="A8" s="35"/>
      <c r="B8" s="162"/>
      <c r="C8" s="163"/>
      <c r="D8" s="163"/>
      <c r="E8" s="163"/>
      <c r="F8" s="163"/>
      <c r="G8" s="163"/>
      <c r="H8" s="162"/>
      <c r="I8" s="35"/>
    </row>
    <row r="9" spans="1:12" ht="20.149999999999999" customHeight="1" x14ac:dyDescent="0.35">
      <c r="A9" s="35"/>
      <c r="B9" s="164"/>
      <c r="C9" s="171" t="str">
        <f xml:space="preserve"> "1. " &amp; Asesmen!$D$6</f>
        <v>1. Pengumpulan Data Pribadi Secara Terbatas, Spesifik serta Sah Secara Hukum</v>
      </c>
      <c r="D9" s="171"/>
      <c r="E9" s="171"/>
      <c r="F9" s="172" t="str">
        <f xml:space="preserve"> "Nilai :  " &amp; Asesmen!$H$6 &amp; " / " &amp; Asesmen!$I$6</f>
        <v>Nilai :  0 / 2</v>
      </c>
      <c r="G9" s="165" t="str">
        <f>IF('HIDE-Nilai'!H8=0,"Tidak Memenuhi",IF('HIDE-Nilai'!H8&lt;0.5,"Sangat Kurang",IF('HIDE-Nilai'!H8&lt;1,"Kurang",IF('HIDE-Nilai'!H8=1,"Sudah Memenuhi",""))))</f>
        <v>Tidak Memenuhi</v>
      </c>
      <c r="H9" s="166"/>
      <c r="I9" s="35"/>
    </row>
    <row r="10" spans="1:12" ht="20.149999999999999" customHeight="1" x14ac:dyDescent="0.35">
      <c r="A10" s="35"/>
      <c r="B10" s="162"/>
      <c r="C10" s="230" t="str">
        <f xml:space="preserve"> IF(Asesmen!$H$6 = Asesmen!$I$6, "Anda sudah memenuhi semua poin asesmen dalam kategori ini.", "Saran")</f>
        <v>Saran</v>
      </c>
      <c r="D10" s="230"/>
      <c r="E10" s="230"/>
      <c r="F10" s="230"/>
      <c r="G10" s="230"/>
      <c r="H10" s="166"/>
      <c r="I10" s="35"/>
    </row>
    <row r="11" spans="1:12" ht="280" customHeight="1" x14ac:dyDescent="0.35">
      <c r="A11" s="35"/>
      <c r="B11" s="164"/>
      <c r="C11" s="167" t="str">
        <f xml:space="preserve"> IF(Asesmen!G7 = "Ya", "", Asesmen!C7)</f>
        <v>1.1</v>
      </c>
      <c r="D11" s="228" t="str">
        <f xml:space="preserve"> IF(Asesmen!$G7 = "Ya", "", Asesmen!K7)</f>
        <v>• Yang dimaksud dengan "secara terbatas dan spesifik" adalah pengumpulan Data Pribadi harus terbatas sesuai dengan tujuan pemrosesannya serta tujuan pemrosesan Data Pribadi harus secara eksplisit, sah, dan telah ditentukan pada saat pengumpulan Data Pribadi.
• Anda wajib menginformasikan tujuan pemrosesan Anda sejak awal dengan jelas.
• Anda sebaiknya mencatat  tujuan Anda sebagai bagian dari kewajiban dokumentasi Anda dan menjelaskannya dalam kebijakan privasi Anda.
• Jika pada saat permintaan persetujuan pengumpulan Data Pribadi terdapat urusan atau tujuan yang lain (misalnya perjanjian kerja karyawan yang memuat aktivitas pemrosesan data pribadinya), Anda harus membedakan permintaan persetujuan Data Pribadi tersebut dan memenuhi ketentuan yang meliputi:
   1. dapat dibedakan secara jelas dengan hal lainnya;
   2. dibuat dengan format yang dapat dipahami dan mudah diakses; dan
   3. menggunakan bahasa yang sederhana dan jelas.
• Jika Anda sudah mendapatkan persetujuan Subjek data atas kegiatan pemrosesan existing, lalu Anda bermaksud memproses dengan tujuan baru yang tidak relevan dengan tujuan awal, maka Anda perlu mendapatkan persetujuan baru (fresh consent) dari Subjek data.
•  Saran lebih lanjut terkait poin ini dapat diakses pada file Panduan halaman 16-17 (Apakah Pengumpulan Data Pribadi Dilakukan Secara Terbatas dan Spesifik?).</v>
      </c>
      <c r="E11" s="228"/>
      <c r="F11" s="228"/>
      <c r="G11" s="228"/>
      <c r="H11" s="166"/>
      <c r="I11" s="35"/>
    </row>
    <row r="12" spans="1:12" ht="218" customHeight="1" x14ac:dyDescent="0.35">
      <c r="A12" s="35"/>
      <c r="B12" s="164"/>
      <c r="C12" s="168" t="str">
        <f xml:space="preserve"> IF(Asesmen!$H8 = 1, "", Asesmen!C8)</f>
        <v>1.2</v>
      </c>
      <c r="D12" s="227" t="str">
        <f xml:space="preserve"> IF(Asesmen!$H8 = 1, "", Asesmen!K8)</f>
        <v>•  Anda harus memenuhi prinsip sah secara hukum (dikenal sebagai legal basis atau lawful basis) yang meliputi sejumlah dasar pemrosesan sebagaimana dimaksud Pasal 20 ayat (2) UU PDP.
•  Anda harus mengidentifikasi tujuan perolehan data dengan dasar pemrosesan yang sesuai dengan kegiatan pemrosesan Anda.
•  Anda harus memastikan bahwa pemrosesan yang Anda lakukan sesuai dengan peraturan perundang-undangan, khususnya UU PDP.
•   Dalam hal Anda menggunakan dasar pemrosesan 'kepentingan yang sah lainnya', Anda perlu memiliki analisis/kajian tertulis tentang alasan penggunaannya, termasuk bagaimana Anda menyeimbangkan kepentingan Anda dan hak Subjek data.
• Yang dimaksud dengan "kepentingan vital Subjek Data Pribadi" adalah terkait dengan keberlangsungan hidup dari Subjek data Pribadi misalnya ketika pemrosesan Data Pribadi diperlukan untuk tindakan perawatan medis serius.
•  Saran lebih lanjut terkait poin ini dapat diakses pada file Panduan halaman 18-32 (Legalitas Pemrosesan Data Pribadi).</v>
      </c>
      <c r="E12" s="227"/>
      <c r="F12" s="227"/>
      <c r="G12" s="227"/>
      <c r="H12" s="166"/>
      <c r="I12" s="35"/>
    </row>
    <row r="13" spans="1:12" ht="15.5" x14ac:dyDescent="0.35">
      <c r="A13" s="35"/>
      <c r="B13" s="162"/>
      <c r="C13" s="229" t="s">
        <v>73</v>
      </c>
      <c r="D13" s="229"/>
      <c r="E13" s="229"/>
      <c r="F13" s="229"/>
      <c r="G13" s="229"/>
      <c r="H13" s="162"/>
      <c r="I13" s="35"/>
    </row>
    <row r="14" spans="1:12" ht="20.149999999999999" customHeight="1" x14ac:dyDescent="0.35">
      <c r="A14" s="35"/>
      <c r="B14" s="164"/>
      <c r="C14" s="235" t="str">
        <f xml:space="preserve"> "2. " &amp; Asesmen!$D$16</f>
        <v>2. Kesesuaian Pemrosesan Data Pribadi dengan Tujuannya</v>
      </c>
      <c r="D14" s="235"/>
      <c r="E14" s="235"/>
      <c r="F14" s="172" t="str">
        <f xml:space="preserve"> "Nilai :  " &amp; Asesmen!$H$16 &amp; " / " &amp; Asesmen!$I$16</f>
        <v>Nilai :  0 / 1</v>
      </c>
      <c r="G14" s="165" t="str">
        <f>IF('HIDE-Nilai'!H9=0,"Tidak Memenuhi",IF('HIDE-Nilai'!H9&lt;0.5,"Sangat Kurang",IF('HIDE-Nilai'!H9&lt;1,"Kurang",IF('HIDE-Nilai'!H9=1,"Sudah Memenuhi",""))))</f>
        <v>Tidak Memenuhi</v>
      </c>
      <c r="H14" s="166"/>
      <c r="I14" s="35"/>
    </row>
    <row r="15" spans="1:12" ht="20.149999999999999" customHeight="1" x14ac:dyDescent="0.35">
      <c r="A15" s="35"/>
      <c r="B15" s="164"/>
      <c r="C15" s="230" t="str">
        <f xml:space="preserve"> IF(Asesmen!H16 = Asesmen!$I$16, "Anda sudah memenuhi semua poin asesmen dalam kategori ini.", "Saran")</f>
        <v>Saran</v>
      </c>
      <c r="D15" s="230"/>
      <c r="E15" s="230"/>
      <c r="F15" s="230"/>
      <c r="G15" s="230"/>
      <c r="H15" s="166"/>
      <c r="I15" s="35"/>
    </row>
    <row r="16" spans="1:12" ht="129" customHeight="1" x14ac:dyDescent="0.35">
      <c r="A16" s="35"/>
      <c r="B16" s="164"/>
      <c r="C16" s="168" t="str">
        <f xml:space="preserve"> IF(Asesmen!$G17 = "Ya", "", Asesmen!C17)</f>
        <v>2.1</v>
      </c>
      <c r="D16" s="227" t="str">
        <f xml:space="preserve"> IF(Asesmen!$G17 = "Ya", "", Asesmen!K17)</f>
        <v>Anda harus memastikan bahwa Data Pribadi yang Anda proses:
1. memadai - cukup untuk memenuhi tujuan yang Anda nyatakan;
2. relevan - Anda hanya dapat mengumpulkan data yang berkaitan langsung dengan pemrosesan Anda; dan
3. terbatas pada apa yang perlu - Anda tidak mengumpulkan Data Pribadi  lebih dari yang Anda butuhkan untuk pencapaian tujuan.
Saran lebih lanjut terkait poin ini dapat diakses pada file Panduan halaman 34-35 (Apakah Pemrosesan Data Pribadi yang Anda Lakukan telah sesuai dengan Tujuan Pemrosesannya?).</v>
      </c>
      <c r="E16" s="227"/>
      <c r="F16" s="227"/>
      <c r="G16" s="227"/>
      <c r="H16" s="166"/>
      <c r="I16" s="35"/>
      <c r="K16" s="39"/>
      <c r="L16" s="39"/>
    </row>
    <row r="17" spans="1:12" ht="15.5" x14ac:dyDescent="0.35">
      <c r="A17" s="35"/>
      <c r="B17" s="164"/>
      <c r="C17" s="233" t="s">
        <v>73</v>
      </c>
      <c r="D17" s="233"/>
      <c r="E17" s="233"/>
      <c r="F17" s="233"/>
      <c r="G17" s="233"/>
      <c r="H17" s="166"/>
      <c r="I17" s="35"/>
      <c r="K17" s="39"/>
      <c r="L17" s="39"/>
    </row>
    <row r="18" spans="1:12" ht="20.149999999999999" customHeight="1" x14ac:dyDescent="0.35">
      <c r="A18" s="35"/>
      <c r="B18" s="164"/>
      <c r="C18" s="234" t="str">
        <f xml:space="preserve"> "3. " &amp; Asesmen!D19</f>
        <v>3. Jaminan Hak Subjek Data Pribadi</v>
      </c>
      <c r="D18" s="234"/>
      <c r="E18" s="234"/>
      <c r="F18" s="172" t="str">
        <f xml:space="preserve"> "Nilai :  " &amp; Asesmen!H19 &amp; " / " &amp; Asesmen!I19</f>
        <v>Nilai :  0 / 2</v>
      </c>
      <c r="G18" s="165" t="str">
        <f>IF('HIDE-Nilai'!H10=0,"Tidak Memenuhi",IF('HIDE-Nilai'!H10&lt;0.5,"Sangat Kurang",IF('HIDE-Nilai'!H10&lt;1,"Kurang",IF('HIDE-Nilai'!H10=1,"Sudah Memenuhi",""))))</f>
        <v>Tidak Memenuhi</v>
      </c>
      <c r="H18" s="166"/>
      <c r="I18" s="35"/>
      <c r="K18" s="39"/>
      <c r="L18" s="39"/>
    </row>
    <row r="19" spans="1:12" ht="20.149999999999999" customHeight="1" x14ac:dyDescent="0.35">
      <c r="A19" s="35"/>
      <c r="B19" s="164"/>
      <c r="C19" s="230" t="str">
        <f xml:space="preserve"> IF(Asesmen!H19 = Asesmen!I19, "Anda sudah memenuhi semua poin asesmen dalam kategori ini.", "Saran")</f>
        <v>Saran</v>
      </c>
      <c r="D19" s="230"/>
      <c r="E19" s="230"/>
      <c r="F19" s="230"/>
      <c r="G19" s="230"/>
      <c r="H19" s="166"/>
      <c r="I19" s="35"/>
      <c r="K19" s="39"/>
      <c r="L19" s="39"/>
    </row>
    <row r="20" spans="1:12" ht="94" customHeight="1" x14ac:dyDescent="0.35">
      <c r="A20" s="35"/>
      <c r="B20" s="164"/>
      <c r="C20" s="167" t="str">
        <f xml:space="preserve"> IF(Asesmen!$G20 = "Ya", "", Asesmen!C20)</f>
        <v>3.1</v>
      </c>
      <c r="D20" s="228" t="str">
        <f xml:space="preserve"> IF(Asesmen!$G20 = "Ya", "", Asesmen!K20)</f>
        <v>•  Anda harus memiliki mekanisme yang memungkinkan subjek Data Pribadi mengubah atau memperbarui Data Pribadinya baik secara sistem maupun permintaan lisan atau tulisan.
•  Saran lebih lanjut terkait poin ini dapat diakses pada file Panduan halaman 37-38 (Apakah Terdapat Akses atau Kesempatan Bagi Subjek Data Pribadi untuk Melengkapi, Memperbarui dan/atau Memperbaiki Kesalahan dan/atau Ketidakakuratan Data Pribadinya?).</v>
      </c>
      <c r="E20" s="228"/>
      <c r="F20" s="228"/>
      <c r="G20" s="228"/>
      <c r="H20" s="166"/>
      <c r="I20" s="35"/>
      <c r="K20" s="39"/>
      <c r="L20" s="39"/>
    </row>
    <row r="21" spans="1:12" ht="182" customHeight="1" x14ac:dyDescent="0.35">
      <c r="A21" s="35"/>
      <c r="B21" s="164"/>
      <c r="C21" s="167" t="str">
        <f xml:space="preserve"> IF(Asesmen!$G21 = "Ya", "", Asesmen!C21)</f>
        <v>3.2</v>
      </c>
      <c r="D21" s="228" t="str">
        <f xml:space="preserve"> IF(Asesmen!$G21 = "Ya", "", Asesmen!K21)</f>
        <v>•  Anda harus memiliki prosedur untuk memastikan untuk menanggapi permintaan salinan Data Pribadi dari subjek Data Pribadi
•  Anda harus memiliki mekanisme yang memungkinkan subjek Data Pribadi memiliki akses untuk mendapatkan informasi yang diinginkan terkait pemrosesan Data Pribadinya.
•  Dalam memenuhi permintaan perolehan Data Pribadi dari Subyek Data Pribadi, Anda harus memastikan informasi tersebut disampaikan dengan menggunakan metode yang aman.
•  Data Pribadi yang diperoleh oleh Subyek Data Pribadi harus dalam format terstruktur dan umum digunakan.
•  Anda harus memastikan bahwa data yang diminta adalah Data Pribadi dari Subyek Data Pribadi yang melakukan permintaan akses atau salinan Data Pribadi.
•  Saran lebih lanjut dapat diakses pada file Panduan halaman 39-40 (Apakah Anda Menyediakan Akses atau Kesempatan bagi Subjek Data Pribadi _x000B_untuk Memperoleh Salinan Data Pribadi yang Pernah Diserahkan?).</v>
      </c>
      <c r="E21" s="228"/>
      <c r="F21" s="228"/>
      <c r="G21" s="228"/>
      <c r="H21" s="166"/>
      <c r="I21" s="35"/>
      <c r="K21" s="39"/>
      <c r="L21" s="39"/>
    </row>
    <row r="22" spans="1:12" ht="15.5" x14ac:dyDescent="0.35">
      <c r="A22" s="35"/>
      <c r="B22" s="164"/>
      <c r="C22" s="229" t="s">
        <v>73</v>
      </c>
      <c r="D22" s="229"/>
      <c r="E22" s="229"/>
      <c r="F22" s="229"/>
      <c r="G22" s="229"/>
      <c r="H22" s="166"/>
      <c r="I22" s="35"/>
    </row>
    <row r="23" spans="1:12" ht="20.149999999999999" customHeight="1" x14ac:dyDescent="0.35">
      <c r="A23" s="35"/>
      <c r="B23" s="164"/>
      <c r="C23" s="239" t="str">
        <f xml:space="preserve"> "4. " &amp; Asesmen!D23</f>
        <v>4. Keakuratan dan Kelengkapan Pemrosesan Data Pribadi</v>
      </c>
      <c r="D23" s="239"/>
      <c r="E23" s="239"/>
      <c r="F23" s="172" t="str">
        <f xml:space="preserve"> "Nilai :  " &amp; Asesmen!H23 &amp; " / " &amp; Asesmen!I23</f>
        <v>Nilai :  0 / 1</v>
      </c>
      <c r="G23" s="165" t="str">
        <f>IF('HIDE-Nilai'!H11=0,"Tidak Memenuhi",IF('HIDE-Nilai'!H11&lt;0.5,"Sangat Kurang",IF('HIDE-Nilai'!H11&lt;1,"Kurang",IF('HIDE-Nilai'!H11=1,"Sudah Memenuhi",""))))</f>
        <v>Tidak Memenuhi</v>
      </c>
      <c r="H23" s="166"/>
      <c r="I23" s="35"/>
    </row>
    <row r="24" spans="1:12" ht="20.149999999999999" customHeight="1" x14ac:dyDescent="0.35">
      <c r="A24" s="35"/>
      <c r="B24" s="164"/>
      <c r="C24" s="231" t="str">
        <f xml:space="preserve"> IF(Asesmen!H23 = Asesmen!I23, "Anda sudah memenuhi semua poin asesmen dalam kategori ini.", "Saran")</f>
        <v>Saran</v>
      </c>
      <c r="D24" s="231"/>
      <c r="E24" s="231"/>
      <c r="F24" s="231"/>
      <c r="G24" s="231"/>
      <c r="H24" s="166"/>
      <c r="I24" s="35"/>
    </row>
    <row r="25" spans="1:12" ht="88" customHeight="1" x14ac:dyDescent="0.35">
      <c r="A25" s="35"/>
      <c r="B25" s="164"/>
      <c r="C25" s="168" t="str">
        <f xml:space="preserve"> IF(Asesmen!$G24 = "Ya", "", Asesmen!C24)</f>
        <v>4.1</v>
      </c>
      <c r="D25" s="227" t="str">
        <f xml:space="preserve"> IF(Asesmen!$G24 = "Ya", "", Asesmen!K24)</f>
        <v>•  Anda harus mengambil langkah untuk memastikan Data Pribadi yang Anda proses akurat, lengkap, dan mutakhir.
•  Jika Anda menemukan bahwa Data Pribadi tidak akurat, lengkap, dan mutakhir, Anda harus mengambil langkah untuk memperbaiki sesegera mungkin.
•  Saran lebih lanjut terkait poin ini dapat diakses pada file Panduan halaman 42-43 (Apakah Anda Telah Memastikan Bahwa Data Pribadi Diproses Secara Akurat dan Lengkap?).</v>
      </c>
      <c r="E25" s="227"/>
      <c r="F25" s="227"/>
      <c r="G25" s="227"/>
      <c r="H25" s="166"/>
      <c r="I25" s="35"/>
    </row>
    <row r="26" spans="1:12" ht="15.5" x14ac:dyDescent="0.35">
      <c r="A26" s="35"/>
      <c r="B26" s="164"/>
      <c r="C26" s="233" t="s">
        <v>73</v>
      </c>
      <c r="D26" s="233"/>
      <c r="E26" s="233"/>
      <c r="F26" s="233"/>
      <c r="G26" s="233"/>
      <c r="H26" s="166"/>
      <c r="I26" s="35"/>
      <c r="K26" s="39"/>
    </row>
    <row r="27" spans="1:12" ht="20.149999999999999" customHeight="1" x14ac:dyDescent="0.35">
      <c r="A27" s="35"/>
      <c r="B27" s="164"/>
      <c r="C27" s="240" t="str">
        <f xml:space="preserve"> "5. " &amp; Asesmen!D26</f>
        <v>5. Upaya Pengamanan Data Pribadi</v>
      </c>
      <c r="D27" s="240"/>
      <c r="E27" s="240"/>
      <c r="F27" s="172" t="str">
        <f xml:space="preserve"> "Nilai :  " &amp; Asesmen!H26 &amp; " / " &amp; Asesmen!I26</f>
        <v>Nilai :  0 / 4</v>
      </c>
      <c r="G27" s="165" t="str">
        <f>IF('HIDE-Nilai'!H12=0,"Tidak Memenuhi",IF('HIDE-Nilai'!H12&lt;0.5,"Sangat Kurang",IF('HIDE-Nilai'!H12&lt;1,"Kurang",IF('HIDE-Nilai'!H12=1,"Sudah Memenuhi",""))))</f>
        <v>Tidak Memenuhi</v>
      </c>
      <c r="H27" s="166"/>
      <c r="I27" s="35"/>
      <c r="K27" s="39"/>
    </row>
    <row r="28" spans="1:12" ht="20.149999999999999" customHeight="1" x14ac:dyDescent="0.35">
      <c r="A28" s="35"/>
      <c r="B28" s="164"/>
      <c r="C28" s="231" t="str">
        <f xml:space="preserve"> IF(Asesmen!H26 = Asesmen!I26, "Anda sudah memenuhi semua poin asesmen dalam kategori ini.", "Saran")</f>
        <v>Saran</v>
      </c>
      <c r="D28" s="231"/>
      <c r="E28" s="231"/>
      <c r="F28" s="231"/>
      <c r="G28" s="231"/>
      <c r="H28" s="166"/>
      <c r="I28" s="35"/>
      <c r="K28" s="39"/>
    </row>
    <row r="29" spans="1:12" ht="150.5" customHeight="1" x14ac:dyDescent="0.35">
      <c r="A29" s="35"/>
      <c r="B29" s="164"/>
      <c r="C29" s="167" t="str">
        <f xml:space="preserve"> IF(Asesmen!$G27 = "Ya", "", Asesmen!C27)</f>
        <v>5.1</v>
      </c>
      <c r="D29" s="228" t="str">
        <f xml:space="preserve"> IF(Asesmen!$G27 = "Ya", "", Asesmen!K27)</f>
        <v>•  Anda harus memiliki sistem manajemen keamanan data pada pemrosesan Data Pribadi dengan memperhatikan sifat dan risiko dari kegiatan pemrosesan Data Pribadi.
•  Anda harus mempertimbangkan hal-hal seperti analisis risiko, kebijakan organisasi, serta tindakan fisik dan teknis.
•  Anda harus mempertimbangkan persyaratan keamanan data lainnya dalam pemrosesan Data Pribadi yang berlaku baik untuk pengendali maupun prosesor.
•  Anda harus memastikan prosedur yang sesuai untuk menguji keefektifan tindakan pengamanan secara berkala, dan melakukan perbaikan atau pembaharuan (on-going update) jika diperlukan.
•  Saran lebih lanjut terkait poin ini dapat diakses pada file Panduan halaman 45-46 dan 59 (Apakah Anda Memiliki Prosedur dan Mekanisme Keamanan Data Terhadap Pemrosesan Data Pribadi?).</v>
      </c>
      <c r="E29" s="228"/>
      <c r="F29" s="228"/>
      <c r="G29" s="228"/>
      <c r="H29" s="166"/>
      <c r="I29" s="35"/>
      <c r="K29" s="39"/>
    </row>
    <row r="30" spans="1:12" ht="93.5" customHeight="1" x14ac:dyDescent="0.35">
      <c r="A30" s="35"/>
      <c r="B30" s="164"/>
      <c r="C30" s="167" t="str">
        <f xml:space="preserve"> IF(Asesmen!$G28 = "Ya", "", Asesmen!C28)</f>
        <v>5.2</v>
      </c>
      <c r="D30" s="228" t="str">
        <f xml:space="preserve"> IF(Asesmen!$G28 = "Ya", "", Asesmen!K28)</f>
        <v>•  Anda harus memastikan Anda untuk mengatasi kegagalan pelindungan Data Pribadi.
•  Anda harus memiliki langkah mitigasi, tindakan perbaikan, dan manajemen risiko untuk memastikan kegagalan pelindungan Data Pribadi tidak terjadi lagi.
•  Saran lebih lanjut terkait poin ini dapat diakses pada file Panduan halaman 48-49 dan 59 (Apakah Anda Memiliki Mekanisme Mengenai Tindakan Mitigasi Risiko dalam hal Terjadi Kegagalan dalam Pelindungan Data Pribadi?).</v>
      </c>
      <c r="E30" s="228"/>
      <c r="F30" s="228"/>
      <c r="G30" s="228"/>
      <c r="H30" s="166"/>
      <c r="I30" s="35"/>
      <c r="K30" s="39"/>
    </row>
    <row r="31" spans="1:12" ht="103" hidden="1" customHeight="1" x14ac:dyDescent="0.35">
      <c r="A31" s="35"/>
      <c r="B31" s="164"/>
      <c r="C31" s="167" t="str">
        <f xml:space="preserve"> IF(AND(Asesmen!G29 = "Ya", Asesmen!G30 &lt;&gt; "Ya"), Asesmen!C30, "")</f>
        <v/>
      </c>
      <c r="D31" s="228" t="str">
        <f xml:space="preserve"> IF(AND(Asesmen!G29 = "Ya", Asesmen!G30 &lt;&gt; "Ya"), Asesmen!K30, "")</f>
        <v/>
      </c>
      <c r="E31" s="228"/>
      <c r="F31" s="228"/>
      <c r="G31" s="228"/>
      <c r="H31" s="166"/>
      <c r="I31" s="35"/>
      <c r="K31" s="39"/>
    </row>
    <row r="32" spans="1:12" ht="123" customHeight="1" x14ac:dyDescent="0.35">
      <c r="A32" s="35"/>
      <c r="B32" s="164"/>
      <c r="C32" s="167" t="str">
        <f xml:space="preserve"> IF(Asesmen!$G31 = "Ya", "", Asesmen!C31)</f>
        <v>5.5</v>
      </c>
      <c r="D32" s="228" t="str">
        <f xml:space="preserve"> IF(Asesmen!$G31 = "Ya", "", Asesmen!K31)</f>
        <v>•  Anda harus memiliki kebijakan pengelolaan Data Pribadi atau aturan internal atau sejenisnya (internal-facing privacy policy) dan mengambil langkah-langkah untuk memastikan kebijakan tersebut diterapkan.
•  Apabila memungkinkan dan dibutuhkan, Anda dapat memiliki kebijakan tambahan dan memastikan bahwa kontrol diterapkan.
•  Anda harus meninjau kebijakan dan tindakan secara berkala dan jika perlu, memperbaikinya.
•  Saran lebih lanjut terkait poin ini dapat diakses pada file Panduan halaman 54-55 dan 59 (Apakah Anda Memiliki Aturan Internal Terkait Hal Pemrosesan Data Pribadi?)</v>
      </c>
      <c r="E32" s="228"/>
      <c r="F32" s="228"/>
      <c r="G32" s="228"/>
      <c r="H32" s="166"/>
      <c r="I32" s="35"/>
      <c r="K32" s="39"/>
    </row>
    <row r="33" spans="1:11" ht="74" customHeight="1" x14ac:dyDescent="0.35">
      <c r="A33" s="35"/>
      <c r="B33" s="169"/>
      <c r="C33" s="170" t="str">
        <f xml:space="preserve"> IF(AND(Asesmen!$G31 = "Ya", Asesmen!$G32 = "Ya"), "", Asesmen!C32)</f>
        <v>5.6</v>
      </c>
      <c r="D33" s="232" t="str">
        <f xml:space="preserve"> IF(AND(Asesmen!$G31 = "Ya", Asesmen!$G32 = "Ya"), "", Asesmen!K32)</f>
        <v>•  Anda harus memiliki program sosialisasi, termasuk pelatihan (training), terhadap aturan internal sebagai salah satu langkah awal  untuk memastikan kebijakan diketahui dan kemudian diterapkan oleh seluruh pegawai dan pihak terkait.
•  Saran lebih lanjut terkait poin ini dapat diakses pada file Panduan halaman 56 dan 59 (Apakah Anda Melakukan Sosialisasi kepada Seluruh Pegawai mengenai Aturan Internal Terkait Pemrosesan Data Pribadi?).</v>
      </c>
      <c r="E33" s="232"/>
      <c r="F33" s="232"/>
      <c r="G33" s="232"/>
      <c r="H33" s="166"/>
      <c r="I33" s="35"/>
      <c r="K33" s="39"/>
    </row>
    <row r="34" spans="1:11" ht="90" customHeight="1" x14ac:dyDescent="0.35">
      <c r="A34" s="35"/>
      <c r="B34" s="164"/>
      <c r="C34" s="167" t="str">
        <f xml:space="preserve"> IF(Asesmen!$G33 = "Ya", "", Asesmen!C33)</f>
        <v>5.7</v>
      </c>
      <c r="D34" s="228" t="str">
        <f xml:space="preserve"> IF(Asesmen!$G33 = "Ya", "", Asesmen!K33)</f>
        <v>•  Anda harus memiliki program internal terkait peningkatan kesadaran (awareness raising program) pelindungan Data Pribadi untuk memberikan pelindungan Data Pribadi dalam Sistem Elektronik yang Anda kelola.
•  Saran lebih lanjut terkait poin ini dapat diakses pada file Panduan halaman 57-59 (Apakah Anda Memiliki Program Internal Terkait Peningkatan Kesadaran Pelindungan Data Pribadi, Seperti Pelatihan, Lokakarya, atau Lainnya?).</v>
      </c>
      <c r="E34" s="228"/>
      <c r="F34" s="228"/>
      <c r="G34" s="228"/>
      <c r="H34" s="166"/>
      <c r="I34" s="35"/>
    </row>
    <row r="35" spans="1:11" ht="15.5" x14ac:dyDescent="0.35">
      <c r="A35" s="35"/>
      <c r="B35" s="164"/>
      <c r="C35" s="233" t="s">
        <v>73</v>
      </c>
      <c r="D35" s="233"/>
      <c r="E35" s="233"/>
      <c r="F35" s="233"/>
      <c r="G35" s="233"/>
      <c r="H35" s="166"/>
      <c r="I35" s="35"/>
    </row>
    <row r="36" spans="1:11" ht="20.149999999999999" customHeight="1" x14ac:dyDescent="0.35">
      <c r="A36" s="35"/>
      <c r="B36" s="164"/>
      <c r="C36" s="234" t="str">
        <f xml:space="preserve"> "6. " &amp; 'HIDE-Nilai'!D13</f>
        <v>6. Pemberitahuan Aktifitas Pemrosesan Data Pribadi dan Kegagalan PDP</v>
      </c>
      <c r="D36" s="234"/>
      <c r="E36" s="234"/>
      <c r="F36" s="172" t="str">
        <f xml:space="preserve"> "Nilai :  " &amp; Asesmen!H35 &amp; " / " &amp; Asesmen!I35</f>
        <v>Nilai :  0 / 3</v>
      </c>
      <c r="G36" s="165" t="str">
        <f>IF('HIDE-Nilai'!H13=0,"Tidak Memenuhi",IF('HIDE-Nilai'!H13&lt;0.5,"Sangat Kurang",IF('HIDE-Nilai'!H13&lt;1,"Kurang",IF('HIDE-Nilai'!H13=1,"Sudah Memenuhi",""))))</f>
        <v>Tidak Memenuhi</v>
      </c>
      <c r="H36" s="166"/>
      <c r="I36" s="35"/>
    </row>
    <row r="37" spans="1:11" ht="20.149999999999999" customHeight="1" x14ac:dyDescent="0.35">
      <c r="A37" s="35"/>
      <c r="B37" s="164"/>
      <c r="C37" s="230" t="str">
        <f xml:space="preserve"> IF(Asesmen!H35 = Asesmen!I35, "Anda sudah memenuhi semua poin asesmen dalam kategori ini.", "Saran")</f>
        <v>Saran</v>
      </c>
      <c r="D37" s="230"/>
      <c r="E37" s="230"/>
      <c r="F37" s="230"/>
      <c r="G37" s="230"/>
      <c r="H37" s="166"/>
      <c r="I37" s="35"/>
    </row>
    <row r="38" spans="1:11" ht="109.5" customHeight="1" x14ac:dyDescent="0.35">
      <c r="A38" s="35"/>
      <c r="B38" s="164"/>
      <c r="C38" s="167" t="str">
        <f xml:space="preserve"> IF(Asesmen!$G36 = "Ya", "", Asesmen!C36)</f>
        <v>6.1</v>
      </c>
      <c r="D38" s="228" t="str">
        <f xml:space="preserve"> IF(Asesmen!$G36 = "Ya", "", Asesmen!K36)</f>
        <v>•  Sebagai pengendali data, Anda wajib melakukan perekaman terhadap seluruh kegiatan pemrosesan Data Pribadi, termasuk transfer data ke luar negeri, jadwal penghapusan data yang berlaku dari setiap kategori data, dan (sepanjang memungkinkan) deskripsi langkah teknis operasional untuk melindungi Data Pribadi.
•  Saran lebih lanjut terkait poin ini dapat diakses pada file Panduan halaman 61-62 (Apakah Anda Telah Memberitahukan kepada Subjek Data Pribadi mengenai Aktivitas Pemrosesan Data Pribadi yang Mencakup Kejelasan Identitas, Dasar Kepentingan Hukum, Tujuan Permintaan, Rencana Penggunaan, dan Tanggung Jawab Anda?).</v>
      </c>
      <c r="E38" s="228"/>
      <c r="F38" s="228"/>
      <c r="G38" s="228"/>
      <c r="H38" s="166"/>
      <c r="I38" s="35"/>
    </row>
    <row r="39" spans="1:11" ht="198" customHeight="1" x14ac:dyDescent="0.35">
      <c r="A39" s="35"/>
      <c r="B39" s="164"/>
      <c r="C39" s="167" t="str">
        <f xml:space="preserve"> IF(Asesmen!$G37 = "Ya", "", Asesmen!C37)</f>
        <v>6.2</v>
      </c>
      <c r="D39" s="228" t="str">
        <f xml:space="preserve"> IF(Asesmen!$G37 = "Ya", "", Asesmen!K37)</f>
        <v>• Yang dimaksud dengan "kegagalan Pelindungan Data Pribadi" adalah kegagalan melindungi Data Pribadi seseorang dalam hal kerahasiaan, integritas, dan ketersediaan Data Pribadi, termasuk pelanggaran keamanan, baik yang disengaja maupun tidak disengaja, yang mengarah pada perusakan, kehilangan, perubahan, pengungkapan, atau akses yang tidak sah terhadap Data Pribadi yang dikirim, disimpan, atau diproses.
• Jika terjadi kegagalan pelindungan Data Pribadi, Anda wajib menyampaikan pemberitahuan secara tertulis paling lambat 3x24 jam kepada Subjek data Pribadi.
•  Dalam rangka melaksanakan prinsip pelindungan Data Pribadi dalam melakukan pemrosesan Data Pribadi, Anda harus menginformasikan kepada subjek Data Pribadi tentang bagaimana akan memproses Data Pribadi mereka.
•  Anda harus memastikan bahwa Anda memberi tahu individu tentang pemrosesan Anda dengan cara yang mudah diakses dan dipahami. Anda harus menggunakan bahasa yang jelas dan sederhana.
•  Saran lebih lanjut terkait poin ini dapat diakses pada file Panduan halaman 63-65 (Apakah Anda Memiliki Mekanisme Pemberitahuan secara Tertulis Kepada Subjek Data Pribadi jika Terjadi Kegagalan dalam Pelindungan Data Pribadi?).</v>
      </c>
      <c r="E39" s="228"/>
      <c r="F39" s="228"/>
      <c r="G39" s="228"/>
      <c r="H39" s="166"/>
      <c r="I39" s="35"/>
    </row>
    <row r="40" spans="1:11" ht="93" customHeight="1" x14ac:dyDescent="0.35">
      <c r="A40" s="35"/>
      <c r="B40" s="164"/>
      <c r="C40" s="167" t="str">
        <f xml:space="preserve"> IF(Asesmen!$G38 = "Ya", "", Asesmen!C38)</f>
        <v>6.3</v>
      </c>
      <c r="D40" s="228" t="str">
        <f xml:space="preserve"> IF(Asesmen!$G38 = "Ya", "", Asesmen!K38)</f>
        <v>• Anda harus menyediakan  saluran atau kanal aduan yang dapat digunakan oleh subjek Data Pribadi untuk melaporkan dampak terhadap kegagalan pelindungan Data Pribadi.
• Saran lebih lanjut terkait poin ini dapat diakses pada file Panduan halaman 66-67 (Apakah Anda Menyediakan Kanal Aduan yang Dapat Digunakan oleh Subjek Data Pribadi untuk Melaporkan Dampak terhadap Kegagalan Pelindungan Data Pribadi?).</v>
      </c>
      <c r="E40" s="228"/>
      <c r="F40" s="228"/>
      <c r="G40" s="228"/>
      <c r="H40" s="166"/>
      <c r="I40" s="35"/>
    </row>
    <row r="41" spans="1:11" ht="15.5" x14ac:dyDescent="0.35">
      <c r="A41" s="35"/>
      <c r="B41" s="164"/>
      <c r="C41" s="229" t="s">
        <v>73</v>
      </c>
      <c r="D41" s="229"/>
      <c r="E41" s="229"/>
      <c r="F41" s="229"/>
      <c r="G41" s="229"/>
      <c r="H41" s="166"/>
      <c r="I41" s="35"/>
    </row>
    <row r="42" spans="1:11" ht="15.5" x14ac:dyDescent="0.35">
      <c r="A42" s="35"/>
      <c r="B42" s="164"/>
      <c r="C42" s="235" t="str">
        <f xml:space="preserve"> "7. " &amp; Asesmen!D40</f>
        <v>7. Pemusnahan dan Penghapusan Data Pribadi</v>
      </c>
      <c r="D42" s="235"/>
      <c r="E42" s="235"/>
      <c r="F42" s="172" t="str">
        <f xml:space="preserve"> "Nilai :  " &amp; Asesmen!H40 &amp; " / " &amp; Asesmen!I40</f>
        <v>Nilai :  0 / 2</v>
      </c>
      <c r="G42" s="165" t="str">
        <f>IF('HIDE-Nilai'!H14=0,"Tidak Memenuhi",IF('HIDE-Nilai'!H14&lt;0.5,"Sangat Kurang",IF('HIDE-Nilai'!H14&lt;1,"Kurang",IF('HIDE-Nilai'!H14=1,"Sudah Memenuhi",""))))</f>
        <v>Tidak Memenuhi</v>
      </c>
      <c r="H42" s="166"/>
      <c r="I42" s="35"/>
    </row>
    <row r="43" spans="1:11" ht="15.5" x14ac:dyDescent="0.35">
      <c r="A43" s="35"/>
      <c r="B43" s="164"/>
      <c r="C43" s="230" t="str">
        <f xml:space="preserve"> IF(Asesmen!H40 = Asesmen!I40, "Anda sudah memenuhi semua poin asesmen dalam kategori ini.", "Saran")</f>
        <v>Saran</v>
      </c>
      <c r="D43" s="230"/>
      <c r="E43" s="230"/>
      <c r="F43" s="230"/>
      <c r="G43" s="230"/>
      <c r="H43" s="166"/>
      <c r="I43" s="35"/>
    </row>
    <row r="44" spans="1:11" ht="152.5" customHeight="1" x14ac:dyDescent="0.35">
      <c r="A44" s="35"/>
      <c r="B44" s="164"/>
      <c r="C44" s="167" t="str">
        <f xml:space="preserve"> IF(Asesmen!$G41 = "Ya", "", Asesmen!C41)</f>
        <v>7.1</v>
      </c>
      <c r="D44" s="228" t="str">
        <f xml:space="preserve"> IF(Asesmen!$G41 = "Ya", "", Asesmen!K41)</f>
        <v>•  Anda harus memiliki mekanisme untuk memastikan penghapusan dan pemusnahan Data Pribadi dari Sistem Elektronik Anda sebagaimana ketentuan Pasal 43 dan 44 UU PDP.
•  Pengendali data harus melaksanakan permintaan penghapusan ini kecuali ada suatu dasar hukum yang jelas mengapa data tersebut harus tetap disimpan contohnya demi kepentingan proses penegakan hukum. 
•  Jika permintaan penghapusan dilayangkan terkait dengan tujuan pemrosesan yang telah tercapai, maka Anda harus melakukan pemeriksaan lebih lanjut jika ada data lain yang masih Anda simpan namun tanpa ada tujuan yang relevan.
• Anda wajib memberitahukan penghapusan dan/atau pemusnahan Data Pribadi kepada Subjek Data Pribadi
•  Saran lebih lanjut dapat diakses pada file Panduan halaman 69-71 (Apakah Anda Menyediakan Mekanisme Penghapusan dan/atau Pemusnahan Data Pribadi sesuai dengan Ketentuan Peraturan Perundang-Undangan?)</v>
      </c>
      <c r="E44" s="228"/>
      <c r="F44" s="228"/>
      <c r="G44" s="228"/>
      <c r="H44" s="166"/>
      <c r="I44" s="35"/>
    </row>
    <row r="45" spans="1:11" ht="140.5" customHeight="1" x14ac:dyDescent="0.35">
      <c r="A45" s="35"/>
      <c r="B45" s="164"/>
      <c r="C45" s="167" t="str">
        <f xml:space="preserve"> IF(Asesmen!$G42 = "Ya", "", Asesmen!C42)</f>
        <v>7.2</v>
      </c>
      <c r="D45" s="228" t="str">
        <f xml:space="preserve"> IF(Asesmen!$G42 = "Ya", "", Asesmen!K42)</f>
        <v>•  Anda hanya dapat menyimpan Data Pribadi sesuai kebutuhan untuk mencapai tujuan pemrosesan dan berdasarkan kewajiban terhadap peraturan perundang-undangan.
•  Anda harus memiliki kebijakan retensi yang sekurang-kurangnya memuat periode serta justifikasi berapa lama Anda menyimpan Data Pribadi. Justifikasi ini bergantung pada tujuan pemrosesan Data Pribadi.
•  Anda harus memiliki mekanisme pemusnahan dan penghapusan Data Pribadi jika telah mencapai masa retensinya dan berketerangan dimusnahkan berdasarkan jadwal retensi arsip.
•  Saran lebih lanjut dapat diakses pada file Panduan halaman 72-73 (Apakah Anda Memiliki Kebijakan Retensi terkait Penyimpanan Data Pribadi?)</v>
      </c>
      <c r="E45" s="228"/>
      <c r="F45" s="228"/>
      <c r="G45" s="228"/>
      <c r="H45" s="166"/>
      <c r="I45" s="35"/>
    </row>
    <row r="46" spans="1:11" ht="15.5" x14ac:dyDescent="0.35">
      <c r="A46" s="35"/>
      <c r="B46" s="164"/>
      <c r="C46" s="229" t="s">
        <v>73</v>
      </c>
      <c r="D46" s="229"/>
      <c r="E46" s="229"/>
      <c r="F46" s="229"/>
      <c r="G46" s="229"/>
      <c r="H46" s="166"/>
      <c r="I46" s="35"/>
    </row>
    <row r="47" spans="1:11" ht="20.5" customHeight="1" x14ac:dyDescent="0.35">
      <c r="A47" s="35"/>
      <c r="B47" s="164"/>
      <c r="C47" s="235" t="str">
        <f xml:space="preserve"> "8. " &amp; Asesmen!D44</f>
        <v>8. Tanggung Jawab dan Pembuktian Pemrosesan Data Pribadi</v>
      </c>
      <c r="D47" s="235"/>
      <c r="E47" s="235"/>
      <c r="F47" s="172" t="str">
        <f xml:space="preserve"> "Nilai :  " &amp; Asesmen!H44 &amp; " / " &amp; Asesmen!I44</f>
        <v>Nilai :  0 / 2</v>
      </c>
      <c r="G47" s="165" t="str">
        <f>IF('HIDE-Nilai'!H15=0,"Tidak Memenuhi",IF('HIDE-Nilai'!H15&lt;0.5,"Sangat Kurang",IF('HIDE-Nilai'!H15&lt;1,"Kurang",IF('HIDE-Nilai'!H15=1,"Sudah Memenuhi",""))))</f>
        <v>Tidak Memenuhi</v>
      </c>
      <c r="H47" s="166"/>
      <c r="I47" s="35"/>
    </row>
    <row r="48" spans="1:11" ht="15.5" x14ac:dyDescent="0.35">
      <c r="A48" s="35"/>
      <c r="B48" s="164"/>
      <c r="C48" s="230" t="str">
        <f xml:space="preserve"> IF(Asesmen!H44 = Asesmen!I44, "Anda sudah memenuhi semua poin asesmen dalam kategori ini.", "Saran")</f>
        <v>Saran</v>
      </c>
      <c r="D48" s="230"/>
      <c r="E48" s="230"/>
      <c r="F48" s="230"/>
      <c r="G48" s="230"/>
      <c r="H48" s="166"/>
      <c r="I48" s="35"/>
    </row>
    <row r="49" spans="1:9" ht="92" customHeight="1" x14ac:dyDescent="0.35">
      <c r="A49" s="35"/>
      <c r="B49" s="164"/>
      <c r="C49" s="167" t="str">
        <f xml:space="preserve"> IF(Asesmen!$G45 = "Ya", "", Asesmen!C45)</f>
        <v>8.1</v>
      </c>
      <c r="D49" s="228" t="str">
        <f xml:space="preserve"> IF(Asesmen!$G45 = "Ya", "", Asesmen!K45)</f>
        <v>•  Sebagai pengendali data, Anda wajib melakukan perekaman terhadap seluruh kegiatan pemrosesan Data Pribadi, termasuk transfer data ke luar negeri, jadwal penghapusan data yang berlaku dari setiap kategori data, dan (sepanjang memungkinkan) deskripsi langkah teknis operasional untuk melindungi Data Pribadi.
•  Saran lebih lanjut terkait poin ini dapat diakses pada file Panduan halaman 75-78 (Apakah Anda Telah Melakukan Perekaman terhadap Semua Kegiatan Pemrosesan dalam Rangka Pelindungan Data Pribadi?).</v>
      </c>
      <c r="E49" s="228"/>
      <c r="F49" s="228"/>
      <c r="G49" s="228"/>
      <c r="H49" s="166"/>
      <c r="I49" s="35"/>
    </row>
    <row r="50" spans="1:9" ht="167.5" customHeight="1" x14ac:dyDescent="0.35">
      <c r="A50" s="35"/>
      <c r="B50" s="164"/>
      <c r="C50" s="167" t="str">
        <f xml:space="preserve"> IF(Asesmen!$G46 = "Ya", "", Asesmen!C46)</f>
        <v>8.2</v>
      </c>
      <c r="D50" s="228" t="str">
        <f xml:space="preserve"> IF(Asesmen!$G46 = "Ya", "", Asesmen!K46)</f>
        <v>•  Anda dapat menunjuk ﻿Pejabat atau Petugas Yang Melaksanakan Fungsi Pelindungan Data Pribadi jika  Anda melakukan aktivitas pemrosesan Data Pribadi. Akan tetapi, penunjukan tersebut dapat menjadi kewajiban bagi Anda jika kegiatan pemrosesan Data Pribadi memenuhi ketentuan Pasal 53 UU PDP.
•  ﻿Pejabat atau Petugas yang melaksanakan fungsi Pelindungan Data Pribadi membantu Anda memantau kepatuhan internal, menginformasikan dan memberi nasihat tentang kewajiban pelindungan data Anda, memberikan saran terkait Analisis Dampak Perlindungan Data (DPIA), dan bertindak sebagai narahubung untuk subjek data dan instansi pengawas pelindungan Data Pribadi.
•  Saran lebih lanjut terkait poin ini dapat diakses pada file Panduan halaman 79-81 (Apakah Anda Memiliki Pegawai/Karyawan atau Pihak yang Ditunjuk secara Khusus Bertanggung Jawab atas Hal-hal yang Terkait dengan Pelindungan Data Pribadi yang Anda Kelola?).</v>
      </c>
      <c r="E50" s="228"/>
      <c r="F50" s="228"/>
      <c r="G50" s="228"/>
      <c r="H50" s="166"/>
      <c r="I50" s="35"/>
    </row>
    <row r="51" spans="1:9" ht="15.5" x14ac:dyDescent="0.35">
      <c r="A51" s="35"/>
      <c r="B51" s="164"/>
      <c r="C51" s="229" t="s">
        <v>73</v>
      </c>
      <c r="D51" s="229"/>
      <c r="E51" s="229"/>
      <c r="F51" s="229"/>
      <c r="G51" s="229"/>
      <c r="H51" s="166"/>
      <c r="I51" s="35"/>
    </row>
    <row r="52" spans="1:9" ht="20.149999999999999" customHeight="1" x14ac:dyDescent="0.35">
      <c r="A52" s="35"/>
      <c r="B52" s="164"/>
      <c r="C52" s="239" t="str">
        <f xml:space="preserve"> "9. " &amp; Asesmen!D48</f>
        <v>9. Pengiriman dan Pengungkapan Data Pribadi</v>
      </c>
      <c r="D52" s="239"/>
      <c r="E52" s="239"/>
      <c r="F52" s="172" t="str">
        <f xml:space="preserve"> "Nilai :  " &amp; Asesmen!H48 &amp; " / " &amp; Asesmen!I48</f>
        <v>Nilai :  0 / 1</v>
      </c>
      <c r="G52" s="165" t="str">
        <f>IF('HIDE-Nilai'!H16=0,"Tidak Memenuhi",IF('HIDE-Nilai'!H16&lt;0.5,"Sangat Kurang",IF('HIDE-Nilai'!H16&lt;1,"Kurang",IF('HIDE-Nilai'!H16=1,"Sudah Memenuhi",""))))</f>
        <v>Tidak Memenuhi</v>
      </c>
      <c r="H52" s="166"/>
      <c r="I52" s="35"/>
    </row>
    <row r="53" spans="1:9" ht="20.149999999999999" customHeight="1" x14ac:dyDescent="0.35">
      <c r="A53" s="35"/>
      <c r="B53" s="164"/>
      <c r="C53" s="231" t="str">
        <f xml:space="preserve"> IF(Asesmen!H48 = Asesmen!I48, "Anda sudah memenuhi semua poin asesmen dalam kategori ini.", "Saran")</f>
        <v>Saran</v>
      </c>
      <c r="D53" s="231"/>
      <c r="E53" s="231"/>
      <c r="F53" s="231"/>
      <c r="G53" s="231"/>
      <c r="H53" s="166"/>
      <c r="I53" s="35"/>
    </row>
    <row r="54" spans="1:9" ht="128.5" hidden="1" customHeight="1" x14ac:dyDescent="0.35">
      <c r="A54" s="35"/>
      <c r="B54" s="164"/>
      <c r="C54" s="168" t="str">
        <f xml:space="preserve"> IF(AND(Asesmen!G49 = "Ya", Asesmen!G50 &lt;&gt; "Ya"), Asesmen!C50, "")</f>
        <v/>
      </c>
      <c r="D54" s="227" t="str">
        <f xml:space="preserve"> IF(AND(Asesmen!G49 = "Ya", Asesmen!G50 &lt;&gt; "Ya"), Asesmen!K50, "")</f>
        <v/>
      </c>
      <c r="E54" s="227"/>
      <c r="F54" s="227"/>
      <c r="G54" s="227"/>
      <c r="H54" s="166"/>
      <c r="I54" s="35"/>
    </row>
    <row r="55" spans="1:9" ht="128.5" customHeight="1" x14ac:dyDescent="0.35">
      <c r="A55" s="35"/>
      <c r="B55" s="164"/>
      <c r="C55" s="168" t="str">
        <f xml:space="preserve"> IF(Asesmen!$G51 = "Ya", "", Asesmen!C51)</f>
        <v>9.3</v>
      </c>
      <c r="D55" s="227" t="str">
        <f xml:space="preserve"> IF(Asesmen!$G51 = "Ya", "", Asesmen!K51)</f>
        <v>•  Anda harus memiliki kebijakan dan prosedur untuk permintaan Data Pribadi yang dilakukan oleh aparat penegak hukum.
•  Anda mempertimbangkan proporsionalitas dari tujuan dan keperluan berbagi Data Pribadi dengan aparat penegak hukum.
•  Anda hanya membagikan Data Pribadi yang relevan dan memadai dalam jumlah minimum yang diperlukan.
•  Saran lebih lanjut terkait poin ini dapat diakses pada file Panduan halaman 88-89 (Apakah Anda Memiliki Kebijakan dan Prosedur dalam hal Terdapat Permintaan dari Aparat Penegak Hukum Terkait Data Pribadi yang Anda Kelola?).</v>
      </c>
      <c r="E55" s="227"/>
      <c r="F55" s="227"/>
      <c r="G55" s="227"/>
      <c r="H55" s="166"/>
      <c r="I55" s="35"/>
    </row>
    <row r="56" spans="1:9" ht="26.4" customHeight="1" x14ac:dyDescent="0.35">
      <c r="A56" s="35"/>
      <c r="B56" s="164"/>
      <c r="C56" s="173"/>
      <c r="D56" s="174"/>
      <c r="E56" s="174"/>
      <c r="F56" s="174"/>
      <c r="G56" s="174"/>
      <c r="H56" s="166"/>
      <c r="I56" s="35"/>
    </row>
    <row r="57" spans="1:9" ht="15" customHeight="1" x14ac:dyDescent="0.35">
      <c r="A57" s="35"/>
      <c r="B57" s="35"/>
      <c r="C57" s="35"/>
      <c r="D57" s="36"/>
      <c r="E57" s="36"/>
      <c r="F57" s="37"/>
      <c r="G57" s="35"/>
      <c r="H57" s="35"/>
      <c r="I57" s="35"/>
    </row>
  </sheetData>
  <sheetProtection algorithmName="SHA-512" hashValue="AZFQIUaiIjwl3h7nSrKWxXirn6NTPwAtJd5fZcWdBYQ9ZQNlmrL+vgvQfwTMFkmkIv+GSAceDGovPAW6IqhK9g==" saltValue="IlYCU86kVuMbXB3Um2d5JA==" spinCount="100000" sheet="1" objects="1" scenarios="1"/>
  <mergeCells count="50">
    <mergeCell ref="C18:E18"/>
    <mergeCell ref="C23:E23"/>
    <mergeCell ref="C27:E27"/>
    <mergeCell ref="C52:E52"/>
    <mergeCell ref="C42:E42"/>
    <mergeCell ref="C43:G43"/>
    <mergeCell ref="C46:G46"/>
    <mergeCell ref="D44:G44"/>
    <mergeCell ref="D45:G45"/>
    <mergeCell ref="D21:G21"/>
    <mergeCell ref="D50:G50"/>
    <mergeCell ref="D25:G25"/>
    <mergeCell ref="C26:G26"/>
    <mergeCell ref="D29:G29"/>
    <mergeCell ref="D31:G31"/>
    <mergeCell ref="D30:G30"/>
    <mergeCell ref="C13:G13"/>
    <mergeCell ref="D16:G16"/>
    <mergeCell ref="C17:G17"/>
    <mergeCell ref="C15:G15"/>
    <mergeCell ref="C14:E14"/>
    <mergeCell ref="D12:G12"/>
    <mergeCell ref="C3:G3"/>
    <mergeCell ref="C6:G6"/>
    <mergeCell ref="C7:G7"/>
    <mergeCell ref="C5:D5"/>
    <mergeCell ref="C10:G10"/>
    <mergeCell ref="D11:G11"/>
    <mergeCell ref="C37:G37"/>
    <mergeCell ref="C35:G35"/>
    <mergeCell ref="C36:E36"/>
    <mergeCell ref="C47:E47"/>
    <mergeCell ref="D20:G20"/>
    <mergeCell ref="C22:G22"/>
    <mergeCell ref="C19:G19"/>
    <mergeCell ref="D32:G32"/>
    <mergeCell ref="D33:G33"/>
    <mergeCell ref="D34:G34"/>
    <mergeCell ref="C24:G24"/>
    <mergeCell ref="C28:G28"/>
    <mergeCell ref="D55:G55"/>
    <mergeCell ref="D39:G39"/>
    <mergeCell ref="D40:G40"/>
    <mergeCell ref="D38:G38"/>
    <mergeCell ref="D49:G49"/>
    <mergeCell ref="C51:G51"/>
    <mergeCell ref="C48:G48"/>
    <mergeCell ref="C53:G53"/>
    <mergeCell ref="C41:G41"/>
    <mergeCell ref="D54:G54"/>
  </mergeCells>
  <conditionalFormatting sqref="C9:C10 F9 F14 F18 F23 F27 F36 F52">
    <cfRule type="expression" dxfId="57" priority="75">
      <formula>$C$9 =""</formula>
    </cfRule>
  </conditionalFormatting>
  <conditionalFormatting sqref="C14">
    <cfRule type="expression" dxfId="56" priority="74">
      <formula>$C$9 =""</formula>
    </cfRule>
  </conditionalFormatting>
  <conditionalFormatting sqref="C18">
    <cfRule type="expression" dxfId="55" priority="73">
      <formula>$C$9 =""</formula>
    </cfRule>
  </conditionalFormatting>
  <conditionalFormatting sqref="C23">
    <cfRule type="expression" dxfId="54" priority="72">
      <formula>$C$9 =""</formula>
    </cfRule>
  </conditionalFormatting>
  <conditionalFormatting sqref="C27">
    <cfRule type="expression" dxfId="53" priority="71">
      <formula>$C$9 =""</formula>
    </cfRule>
  </conditionalFormatting>
  <conditionalFormatting sqref="C36">
    <cfRule type="expression" dxfId="52" priority="70">
      <formula>$C$9 =""</formula>
    </cfRule>
  </conditionalFormatting>
  <conditionalFormatting sqref="C52">
    <cfRule type="expression" dxfId="51" priority="68">
      <formula>$C$9 =""</formula>
    </cfRule>
  </conditionalFormatting>
  <conditionalFormatting sqref="C15">
    <cfRule type="expression" dxfId="50" priority="67">
      <formula>$C$9 =""</formula>
    </cfRule>
  </conditionalFormatting>
  <conditionalFormatting sqref="C19">
    <cfRule type="expression" dxfId="49" priority="66">
      <formula>$C$9 =""</formula>
    </cfRule>
  </conditionalFormatting>
  <conditionalFormatting sqref="C24">
    <cfRule type="expression" dxfId="48" priority="65">
      <formula>$C$9 =""</formula>
    </cfRule>
  </conditionalFormatting>
  <conditionalFormatting sqref="C28">
    <cfRule type="expression" dxfId="47" priority="64">
      <formula>$C$9 =""</formula>
    </cfRule>
  </conditionalFormatting>
  <conditionalFormatting sqref="C37">
    <cfRule type="expression" dxfId="46" priority="63">
      <formula>$C$9 =""</formula>
    </cfRule>
  </conditionalFormatting>
  <conditionalFormatting sqref="C53">
    <cfRule type="expression" dxfId="45" priority="61">
      <formula>$C$9 =""</formula>
    </cfRule>
  </conditionalFormatting>
  <conditionalFormatting sqref="G9">
    <cfRule type="expression" dxfId="44" priority="33">
      <formula>$G$9 = "Tidak Memenuhi"</formula>
    </cfRule>
    <cfRule type="expression" dxfId="43" priority="58">
      <formula>$G$9 = "Sangat Kurang"</formula>
    </cfRule>
    <cfRule type="expression" dxfId="42" priority="59">
      <formula>$G$9 = "Kurang"</formula>
    </cfRule>
    <cfRule type="expression" dxfId="41" priority="60">
      <formula>$G$9 = "Sudah Memenuhi"</formula>
    </cfRule>
  </conditionalFormatting>
  <conditionalFormatting sqref="G14">
    <cfRule type="expression" dxfId="40" priority="32">
      <formula>$G$14 = "Tidak Memenuhi"</formula>
    </cfRule>
    <cfRule type="expression" dxfId="39" priority="53">
      <formula>$G$14 = "Sangat Kurang"</formula>
    </cfRule>
    <cfRule type="expression" dxfId="38" priority="55">
      <formula>$G$14 = "Kurang"</formula>
    </cfRule>
    <cfRule type="expression" dxfId="37" priority="56">
      <formula>$G$14 = "Sudah Memenuhi"</formula>
    </cfRule>
  </conditionalFormatting>
  <conditionalFormatting sqref="G18">
    <cfRule type="expression" dxfId="36" priority="31">
      <formula>$G$18 = "Tidak Memenuhi"</formula>
    </cfRule>
    <cfRule type="expression" dxfId="35" priority="50">
      <formula>$G$18 = "Sangat Kurang"</formula>
    </cfRule>
    <cfRule type="expression" dxfId="34" priority="51">
      <formula>$G$18 = "Kurang"</formula>
    </cfRule>
    <cfRule type="expression" dxfId="33" priority="52">
      <formula>$G$18 = "Sudah Memenuhi"</formula>
    </cfRule>
  </conditionalFormatting>
  <conditionalFormatting sqref="G23">
    <cfRule type="expression" dxfId="32" priority="30">
      <formula>$G$23 = "Tidak Memenuhi"</formula>
    </cfRule>
    <cfRule type="expression" dxfId="31" priority="46">
      <formula>$G$23 = "Sangat Kurang"</formula>
    </cfRule>
    <cfRule type="expression" dxfId="30" priority="47">
      <formula>$G$23 = "Kurang"</formula>
    </cfRule>
    <cfRule type="expression" dxfId="29" priority="48">
      <formula>$G$23 = "Sudah Memenuhi"</formula>
    </cfRule>
  </conditionalFormatting>
  <conditionalFormatting sqref="G27">
    <cfRule type="expression" dxfId="28" priority="29">
      <formula>$G$27 = "Tidak Memenuhi"</formula>
    </cfRule>
    <cfRule type="expression" dxfId="27" priority="43">
      <formula>$G$27 = "Sangat Kurang"</formula>
    </cfRule>
    <cfRule type="expression" dxfId="26" priority="44">
      <formula>$G$27 = "Kurang"</formula>
    </cfRule>
    <cfRule type="expression" dxfId="25" priority="45">
      <formula>$G$27 = "Sudah Memenuhi"</formula>
    </cfRule>
  </conditionalFormatting>
  <conditionalFormatting sqref="G36">
    <cfRule type="expression" dxfId="24" priority="28">
      <formula>$G$36 = "Tidak Memenuhi"</formula>
    </cfRule>
    <cfRule type="expression" dxfId="23" priority="40">
      <formula>$G$36 = "Sangat Kurang"</formula>
    </cfRule>
    <cfRule type="expression" dxfId="22" priority="41">
      <formula>$G$36 = "Kurang"</formula>
    </cfRule>
    <cfRule type="expression" dxfId="21" priority="42">
      <formula>$G$36 = "Sudah Memenuhi"</formula>
    </cfRule>
  </conditionalFormatting>
  <conditionalFormatting sqref="G52">
    <cfRule type="expression" dxfId="20" priority="26">
      <formula>$G$52 = "Tidak Memenuhi"</formula>
    </cfRule>
    <cfRule type="expression" dxfId="19" priority="34">
      <formula>$G$52 = "Sangat Kurang"</formula>
    </cfRule>
    <cfRule type="expression" dxfId="18" priority="35">
      <formula>$G$52 = "Kurang"</formula>
    </cfRule>
    <cfRule type="expression" dxfId="17" priority="36">
      <formula>$G$52 = "Sudah Memenuhi"</formula>
    </cfRule>
  </conditionalFormatting>
  <conditionalFormatting sqref="F5:G5">
    <cfRule type="expression" dxfId="16" priority="18">
      <formula xml:space="preserve"> $G$5 = "Rendah"</formula>
    </cfRule>
    <cfRule type="expression" dxfId="15" priority="19">
      <formula xml:space="preserve"> $G$5 = "Menengah"</formula>
    </cfRule>
    <cfRule type="expression" dxfId="14" priority="20">
      <formula xml:space="preserve"> $G$5 = "Tinggi"</formula>
    </cfRule>
  </conditionalFormatting>
  <conditionalFormatting sqref="F47">
    <cfRule type="expression" dxfId="13" priority="14">
      <formula>$C$9 =""</formula>
    </cfRule>
  </conditionalFormatting>
  <conditionalFormatting sqref="C47">
    <cfRule type="expression" dxfId="12" priority="13">
      <formula>$C$9 =""</formula>
    </cfRule>
  </conditionalFormatting>
  <conditionalFormatting sqref="G47">
    <cfRule type="expression" dxfId="11" priority="9">
      <formula>$G$47 = "Tidak Memenuhi"</formula>
    </cfRule>
    <cfRule type="expression" dxfId="10" priority="10">
      <formula>$G$47 = "Sangat Kurang"</formula>
    </cfRule>
    <cfRule type="expression" dxfId="9" priority="11">
      <formula>$G$47 = "Kurang"</formula>
    </cfRule>
    <cfRule type="expression" dxfId="8" priority="12">
      <formula>$G$47 = "Sudah Memenuhi"</formula>
    </cfRule>
  </conditionalFormatting>
  <conditionalFormatting sqref="C48">
    <cfRule type="expression" dxfId="7" priority="8">
      <formula>$C$9 =""</formula>
    </cfRule>
  </conditionalFormatting>
  <conditionalFormatting sqref="F42">
    <cfRule type="expression" dxfId="6" priority="7">
      <formula>$C$9 =""</formula>
    </cfRule>
  </conditionalFormatting>
  <conditionalFormatting sqref="C42">
    <cfRule type="expression" dxfId="5" priority="6">
      <formula>$C$9 =""</formula>
    </cfRule>
  </conditionalFormatting>
  <conditionalFormatting sqref="G42">
    <cfRule type="expression" dxfId="3" priority="2">
      <formula xml:space="preserve"> $G$42 = "Tidak Memenuhi"</formula>
    </cfRule>
    <cfRule type="expression" dxfId="2" priority="3">
      <formula xml:space="preserve"> $G$42 = "Sangat Kurang"</formula>
    </cfRule>
    <cfRule type="expression" dxfId="1" priority="4">
      <formula xml:space="preserve"> $G$42 = "Kurang"</formula>
    </cfRule>
    <cfRule type="expression" dxfId="0" priority="5">
      <formula xml:space="preserve"> $G$42 = "Sudah Memenuhi"</formula>
    </cfRule>
  </conditionalFormatting>
  <conditionalFormatting sqref="C43">
    <cfRule type="expression" dxfId="4" priority="1">
      <formula>$C$9 =""</formula>
    </cfRule>
  </conditionalFormatting>
  <printOptions horizontalCentered="1"/>
  <pageMargins left="0.39370078740157483" right="0.39370078740157483" top="0.39370078740157483" bottom="0.39370078740157483" header="0.31496062992125984" footer="0.31496062992125984"/>
  <pageSetup paperSize="9" scale="82" fitToHeight="6" orientation="portrait" r:id="rId1"/>
  <rowBreaks count="5" manualBreakCount="5">
    <brk id="13" max="16383" man="1"/>
    <brk id="22" max="16383" man="1"/>
    <brk id="26" max="16383" man="1"/>
    <brk id="35" max="16383" man="1"/>
    <brk id="51"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vt:i4>
      </vt:variant>
    </vt:vector>
  </HeadingPairs>
  <TitlesOfParts>
    <vt:vector size="6" baseType="lpstr">
      <vt:lpstr>Data PSE</vt:lpstr>
      <vt:lpstr>Asesmen!Print_Area</vt:lpstr>
      <vt:lpstr>'Data PSE'!Print_Area</vt:lpstr>
      <vt:lpstr>Hasil!Print_Area</vt:lpstr>
      <vt:lpstr>Asesmen!Print_Titles</vt:lpstr>
      <vt:lpstr>Hasil!Print_Titles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Jawara</dc:creator>
  <cp:keywords/>
  <dc:description/>
  <cp:lastModifiedBy>user</cp:lastModifiedBy>
  <cp:revision/>
  <cp:lastPrinted>2023-06-11T13:35:48Z</cp:lastPrinted>
  <dcterms:created xsi:type="dcterms:W3CDTF">2021-02-26T04:12:58Z</dcterms:created>
  <dcterms:modified xsi:type="dcterms:W3CDTF">2023-07-04T23:58:02Z</dcterms:modified>
  <cp:category/>
  <cp:contentStatus/>
</cp:coreProperties>
</file>